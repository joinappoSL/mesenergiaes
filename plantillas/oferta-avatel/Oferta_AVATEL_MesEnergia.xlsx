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OFERTA" sheetId="2" state="visible" r:id="rId4"/>
    <sheet name="TARIFAS" sheetId="3" state="visible" r:id="rId5"/>
    <sheet name="CALC" sheetId="4" state="hidden" r:id="rId6"/>
  </sheets>
  <definedNames>
    <definedName function="false" hidden="false" localSheetId="0" name="_xlnm.Print_Area" vbProcedure="false">DATOS!$A$1:$G$45</definedName>
    <definedName function="false" hidden="false" localSheetId="1" name="_xlnm.Print_Area" vbProcedure="false">OFERTA!$A$1:$G$33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<sst xmlns="http://schemas.openxmlformats.org/spreadsheetml/2006/main" count="181" uniqueCount="151">
  <si>
    <t xml:space="preserve">MESENERGIA · +Energía</t>
  </si>
  <si>
    <t xml:space="preserve">Generador de ofertas AVATEL</t>
  </si>
  <si>
    <t xml:space="preserve">Rellena los datos durante la llamada · la hoja OFERTA se actualiza sola · expórtala a PDF</t>
  </si>
  <si>
    <t xml:space="preserve">CÓMO SE USA:  1) Rellena las celdas amarillas (las grises se calculan solas; usa Tab para saltar de una a otra).  2) Revisa la hoja OFERTA.  3) Exporta a PDF solo la hoja OFERTA → Excel: Archivo › Exportar › Crear PDF (o Imprimir › «Imprimir hojas activas» › Guardar como PDF). Google Sheets: Archivo › Descargar › PDF › Hoja actual.</t>
  </si>
  <si>
    <t xml:space="preserve">Celda a rellenar</t>
  </si>
  <si>
    <t xml:space="preserve">Se calcula sola</t>
  </si>
  <si>
    <t xml:space="preserve">Ejemplo relleno: sobrescríbelo con los datos del cliente.</t>
  </si>
  <si>
    <t xml:space="preserve">1 · DATOS DE LA OFERTA</t>
  </si>
  <si>
    <t xml:space="preserve">Fecha de la oferta</t>
  </si>
  <si>
    <t xml:space="preserve">Formato dd/mm/aaaa</t>
  </si>
  <si>
    <t xml:space="preserve">Asesor comercial</t>
  </si>
  <si>
    <t xml:space="preserve">Gabriela</t>
  </si>
  <si>
    <t xml:space="preserve">Nombre que verá el cliente en la oferta</t>
  </si>
  <si>
    <t xml:space="preserve">Oferta válida hasta (opcional)</t>
  </si>
  <si>
    <t xml:space="preserve">Si lo dejas vacío no aparece en la oferta</t>
  </si>
  <si>
    <t xml:space="preserve">2 · CLIENTE</t>
  </si>
  <si>
    <t xml:space="preserve">Nombre completo</t>
  </si>
  <si>
    <t xml:space="preserve">María López Fernández</t>
  </si>
  <si>
    <t xml:space="preserve">3 · TARIFA AVATEL</t>
  </si>
  <si>
    <t xml:space="preserve">Tarifa</t>
  </si>
  <si>
    <t xml:space="preserve">Conecta Sin Límites</t>
  </si>
  <si>
    <t xml:space="preserve">Precio tarifario</t>
  </si>
  <si>
    <t xml:space="preserve">Qué incluye</t>
  </si>
  <si>
    <t xml:space="preserve">Líneas móviles incluidas en la tarifa</t>
  </si>
  <si>
    <t xml:space="preserve">Las primeras líneas de la tabla de abajo van incluidas; el resto son adicionales con bono</t>
  </si>
  <si>
    <t xml:space="preserve">4 · LÍNEAS MÓVILES  (portabilidad · máximo 5 por cliente)</t>
  </si>
  <si>
    <t xml:space="preserve">Línea</t>
  </si>
  <si>
    <t xml:space="preserve">Número (9 dígitos)</t>
  </si>
  <si>
    <t xml:space="preserve">Bono de datos (solo adicionales)</t>
  </si>
  <si>
    <t xml:space="preserve">Datos</t>
  </si>
  <si>
    <t xml:space="preserve">€/mes extra</t>
  </si>
  <si>
    <t xml:space="preserve">Comprobación</t>
  </si>
  <si>
    <t xml:space="preserve">Línea principal</t>
  </si>
  <si>
    <t xml:space="preserve">612345678</t>
  </si>
  <si>
    <t xml:space="preserve">Línea adicional 1</t>
  </si>
  <si>
    <t xml:space="preserve">623456789</t>
  </si>
  <si>
    <t xml:space="preserve">Línea adicional 2</t>
  </si>
  <si>
    <t xml:space="preserve">634567890</t>
  </si>
  <si>
    <t xml:space="preserve">Datos ilimitados</t>
  </si>
  <si>
    <t xml:space="preserve">Línea adicional 3</t>
  </si>
  <si>
    <t xml:space="preserve">Línea adicional 4</t>
  </si>
  <si>
    <t xml:space="preserve">5 · TELÉFONO FIJO</t>
  </si>
  <si>
    <t xml:space="preserve">Número fijo a portar</t>
  </si>
  <si>
    <t xml:space="preserve">944123456</t>
  </si>
  <si>
    <t xml:space="preserve">Déjalo vacío si el cliente no lleva línea fija</t>
  </si>
  <si>
    <t xml:space="preserve">6 · EXTRAS</t>
  </si>
  <si>
    <t xml:space="preserve">Televisión CLICtv (con deco)</t>
  </si>
  <si>
    <t xml:space="preserve">Sí</t>
  </si>
  <si>
    <t xml:space="preserve">Sí / No</t>
  </si>
  <si>
    <t xml:space="preserve">Canal Local CLICtv</t>
  </si>
  <si>
    <t xml:space="preserve">No</t>
  </si>
  <si>
    <t xml:space="preserve">Sí / No · requiere CLICtv</t>
  </si>
  <si>
    <t xml:space="preserve">Conecta Mesh (nº de dispositivos)</t>
  </si>
  <si>
    <t xml:space="preserve">0 a 5 · amplía la cobertura WiFi</t>
  </si>
  <si>
    <t xml:space="preserve">Otras ventajas para el cliente (opcional)</t>
  </si>
  <si>
    <t xml:space="preserve">7 · PRECIO</t>
  </si>
  <si>
    <t xml:space="preserve">Precio orientativo según tarifario</t>
  </si>
  <si>
    <t xml:space="preserve">Tarifa + líneas adicionales + fijo + extras, según la hoja TARIFAS (solo referencia interna)</t>
  </si>
  <si>
    <t xml:space="preserve">PRECIO DE NUESTRA OFERTA (€/mes, IVA incl.)</t>
  </si>
  <si>
    <t xml:space="preserve">Es el precio que verá el cliente. Si lo dejas vacío se usará el orientativo</t>
  </si>
  <si>
    <t xml:space="preserve">Precio que aparece en el PDF</t>
  </si>
  <si>
    <t xml:space="preserve">ESTADO</t>
  </si>
  <si>
    <t xml:space="preserve">CONDICIONES Y TARIFA PERSONALIZADA</t>
  </si>
  <si>
    <t xml:space="preserve">CLIENTE</t>
  </si>
  <si>
    <t xml:space="preserve">FECHA</t>
  </si>
  <si>
    <t xml:space="preserve">REFERENCIA</t>
  </si>
  <si>
    <t xml:space="preserve">TU TARIFA AVATEL</t>
  </si>
  <si>
    <t xml:space="preserve">CUOTA MENSUAL</t>
  </si>
  <si>
    <t xml:space="preserve">al mes · IVA incluido</t>
  </si>
  <si>
    <t xml:space="preserve">SERVICIOS INCLUIDOS EN TU OFERTA</t>
  </si>
  <si>
    <t xml:space="preserve">TARIFAS AVATEL · Oferta comercial cliente nuevo</t>
  </si>
  <si>
    <t xml:space="preserve">Fuente: tarifario AVATEL Telecom + Energía (vigencia 18/08/2026 – 15/10/2026). Las celdas amarillas se pueden actualizar cuando cambie el tarifario: la oferta se recalcula sola.</t>
  </si>
  <si>
    <t xml:space="preserve">PAQUETES</t>
  </si>
  <si>
    <t xml:space="preserve">Nombre en la oferta</t>
  </si>
  <si>
    <t xml:space="preserve">Qué incluye (referencia interna)</t>
  </si>
  <si>
    <t xml:space="preserve">Líneas móviles incluidas</t>
  </si>
  <si>
    <t xml:space="preserve">Datos de las líneas incluidas</t>
  </si>
  <si>
    <t xml:space="preserve">Precio €/mes (IVA incl.)</t>
  </si>
  <si>
    <t xml:space="preserve">Conecta Fibra</t>
  </si>
  <si>
    <t xml:space="preserve">Conecta Fibra prime</t>
  </si>
  <si>
    <t xml:space="preserve">Fibra 1000 Mb · Router WiFi 6 · Instalación gratis · 12 meses de Amazon Prime</t>
  </si>
  <si>
    <t xml:space="preserve">—</t>
  </si>
  <si>
    <t xml:space="preserve">Conecta Sencillo</t>
  </si>
  <si>
    <t xml:space="preserve">Conecta Sencillo prime</t>
  </si>
  <si>
    <t xml:space="preserve">Fibra 1000 Mb · Router WiFi 6 · Instalación gratis · 1 línea móvil 100 GB acumulables con llamadas ilimitadas · 12 meses de Amazon Prime</t>
  </si>
  <si>
    <t xml:space="preserve">100 GB acumulables</t>
  </si>
  <si>
    <t xml:space="preserve">Conecta Doble</t>
  </si>
  <si>
    <t xml:space="preserve">Conecta Doble prime</t>
  </si>
  <si>
    <t xml:space="preserve">Fibra 1000 Mb · Router WiFi 6 · Instalación gratis · 2 líneas móviles 5G 100 GB acumulables con llamadas ilimitadas · 12 meses de Amazon Prime</t>
  </si>
  <si>
    <t xml:space="preserve">100 GB acumulables (5G)</t>
  </si>
  <si>
    <t xml:space="preserve">Conecta Sin Límites prime</t>
  </si>
  <si>
    <t xml:space="preserve">Fibra 1000 Mb · Router WiFi 6 · Instalación gratis · 2 líneas móviles 5G con datos ilimitados y llamadas ilimitadas · 12 meses de Amazon Prime</t>
  </si>
  <si>
    <t xml:space="preserve">Datos ilimitados (5G)</t>
  </si>
  <si>
    <t xml:space="preserve">BONOS PARA LÍNEAS MÓVILES ADICIONALES (€/mes) · todas con llamadas ilimitadas · máx. 5 líneas por cliente</t>
  </si>
  <si>
    <t xml:space="preserve">25 GB</t>
  </si>
  <si>
    <t xml:space="preserve">50 GB</t>
  </si>
  <si>
    <t xml:space="preserve">«—» = bono no disponible con esa tarifa.</t>
  </si>
  <si>
    <t xml:space="preserve">EXTRAS (€/mes)</t>
  </si>
  <si>
    <t xml:space="preserve">Concepto</t>
  </si>
  <si>
    <t xml:space="preserve">€/mes</t>
  </si>
  <si>
    <t xml:space="preserve">Nota</t>
  </si>
  <si>
    <t xml:space="preserve">Línea de teléfono fijo</t>
  </si>
  <si>
    <t xml:space="preserve">1.000 min a fijos y 1.000 min a móviles nacionales</t>
  </si>
  <si>
    <t xml:space="preserve">Gratuito hasta el 31/12/2026 según el tarifario; actualiza el precio cuando cambie</t>
  </si>
  <si>
    <t xml:space="preserve">Conecta Mesh (por dispositivo)</t>
  </si>
  <si>
    <t xml:space="preserve">DATOS DE EMPRESA (aparecen en la oferta)</t>
  </si>
  <si>
    <t xml:space="preserve">Empresa</t>
  </si>
  <si>
    <t xml:space="preserve">MESENERGIA</t>
  </si>
  <si>
    <t xml:space="preserve">Web</t>
  </si>
  <si>
    <t xml:space="preserve">www.mesenergia.es</t>
  </si>
  <si>
    <t xml:space="preserve">Email de contacto</t>
  </si>
  <si>
    <t xml:space="preserve">Teléfono de contacto</t>
  </si>
  <si>
    <t xml:space="preserve">Operadora</t>
  </si>
  <si>
    <t xml:space="preserve">AVATEL</t>
  </si>
  <si>
    <t xml:space="preserve">Texto de presentación</t>
  </si>
  <si>
    <t xml:space="preserve">En MESENERGIA somos distribuidores oficiales de AVATEL y comercializamos ofertas exclusivas diseñadas específicamente para nuestros clientes, con condiciones preferentes y promociones especiales no disponibles en otros canales.</t>
  </si>
  <si>
    <t xml:space="preserve">TEXTOS DE LA OFERTA (lo que lee el cliente)</t>
  </si>
  <si>
    <t xml:space="preserve">Fibra óptica</t>
  </si>
  <si>
    <t xml:space="preserve">Conexión a Internet de alta velocidad mediante red de fibra óptica de 1 Gb (1000 Mb), con router WiFi 6 incluido e instalación gratuita.</t>
  </si>
  <si>
    <t xml:space="preserve">Teléfono fijo (tras el número)</t>
  </si>
  <si>
    <t xml:space="preserve">con 1.000 minutos a fijos y 1.000 minutos a móviles nacionales.</t>
  </si>
  <si>
    <t xml:space="preserve">Televisión</t>
  </si>
  <si>
    <t xml:space="preserve">Servicio de televisión CLICtv con decodificador incluido, para disfrutar de tus canales y contenidos favoritos.</t>
  </si>
  <si>
    <t xml:space="preserve">Canal Local</t>
  </si>
  <si>
    <t xml:space="preserve">Incluye además el Canal Local de CLICtv, con LALIGA HYPERMOTION y PRIMERA RFEF.</t>
  </si>
  <si>
    <t xml:space="preserve">Amazon Prime</t>
  </si>
  <si>
    <t xml:space="preserve">12 meses de Amazon Prime incluidos con tu tarifa, conforme a las condiciones del proveedor del servicio.</t>
  </si>
  <si>
    <t xml:space="preserve">Nota al pie</t>
  </si>
  <si>
    <t xml:space="preserve">Precios con IVA incluido. Servicios prestados por AVATEL, sujetos a cobertura y a la validación de los datos del titular por parte de la operadora.</t>
  </si>
  <si>
    <t xml:space="preserve">Hoja auxiliar: no editar. La usa la hoja OFERTA.</t>
  </si>
  <si>
    <t xml:space="preserve">Número</t>
  </si>
  <si>
    <t xml:space="preserve">Viñeta</t>
  </si>
  <si>
    <t xml:space="preserve">Línea adicional</t>
  </si>
  <si>
    <t xml:space="preserve">Nº líneas</t>
  </si>
  <si>
    <t xml:space="preserve">Servicio</t>
  </si>
  <si>
    <t xml:space="preserve">Incluir</t>
  </si>
  <si>
    <t xml:space="preserve">Título</t>
  </si>
  <si>
    <t xml:space="preserve">Descripción</t>
  </si>
  <si>
    <t xml:space="preserve">Acum.</t>
  </si>
  <si>
    <t xml:space="preserve">Fibra</t>
  </si>
  <si>
    <t xml:space="preserve">Fibra óptica 1 Gb</t>
  </si>
  <si>
    <t xml:space="preserve">Móvil</t>
  </si>
  <si>
    <t xml:space="preserve">Telefonía móvil</t>
  </si>
  <si>
    <t xml:space="preserve">Fijo</t>
  </si>
  <si>
    <t xml:space="preserve">Telefonía fija</t>
  </si>
  <si>
    <t xml:space="preserve">TV</t>
  </si>
  <si>
    <t xml:space="preserve">Amazon</t>
  </si>
  <si>
    <t xml:space="preserve">Ventajas</t>
  </si>
  <si>
    <t xml:space="preserve">Ventajas +Energía</t>
  </si>
  <si>
    <t xml:space="preserve">Orden</t>
  </si>
  <si>
    <t xml:space="preserve">Resumen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</si>
</sst>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"/>
    <numFmt numFmtId="167" formatCode="0"/>
    <numFmt numFmtId="168" formatCode="@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CA83C"/>
      <name val="Arial"/>
      <family val="0"/>
      <charset val="1"/>
    </font>
    <font>
      <b val="true"/>
      <sz val="17"/>
      <color rgb="FF0F1E43"/>
      <name val="Arial"/>
      <family val="0"/>
      <charset val="1"/>
    </font>
    <font>
      <sz val="9"/>
      <color rgb="FF5B6475"/>
      <name val="Arial"/>
      <family val="0"/>
      <charset val="1"/>
    </font>
    <font>
      <sz val="9"/>
      <color rgb="FF1B3263"/>
      <name val="Arial"/>
      <family val="0"/>
      <charset val="1"/>
    </font>
    <font>
      <sz val="8"/>
      <color rgb="FF5B6475"/>
      <name val="Arial"/>
      <family val="0"/>
      <charset val="1"/>
    </font>
    <font>
      <i val="true"/>
      <sz val="8"/>
      <color rgb="FF5B64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E43"/>
      <name val="Arial"/>
      <family val="0"/>
      <charset val="1"/>
    </font>
    <font>
      <b val="true"/>
      <sz val="10"/>
      <color rgb="FF1B3263"/>
      <name val="Arial"/>
      <family val="0"/>
      <charset val="1"/>
    </font>
    <font>
      <b val="true"/>
      <sz val="10"/>
      <color rgb="FF0F1E43"/>
      <name val="Arial"/>
      <family val="0"/>
      <charset val="1"/>
    </font>
    <font>
      <sz val="9"/>
      <color rgb="FF0F1E4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F1E43"/>
      <name val="Arial"/>
      <family val="0"/>
      <charset val="1"/>
    </font>
    <font>
      <b val="true"/>
      <sz val="12"/>
      <color rgb="FF0F1E4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7.5"/>
      <color rgb="FF5B6475"/>
      <name val="Arial"/>
      <family val="0"/>
      <charset val="1"/>
    </font>
    <font>
      <b val="true"/>
      <sz val="16"/>
      <color rgb="FF0F1E43"/>
      <name val="Arial"/>
      <family val="0"/>
      <charset val="1"/>
    </font>
    <font>
      <b val="true"/>
      <sz val="9"/>
      <color rgb="FF5B6475"/>
      <name val="Arial"/>
      <family val="0"/>
      <charset val="1"/>
    </font>
    <font>
      <sz val="10"/>
      <color rgb="FF2B3445"/>
      <name val="Arial"/>
      <family val="0"/>
      <charset val="1"/>
    </font>
    <font>
      <b val="true"/>
      <sz val="8"/>
      <color rgb="FFF5C03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4"/>
      <color rgb="FFF5C030"/>
      <name val="Arial"/>
      <family val="0"/>
      <charset val="1"/>
    </font>
    <font>
      <sz val="8.5"/>
      <color rgb="FFD9E1F0"/>
      <name val="Arial"/>
      <family val="0"/>
      <charset val="1"/>
    </font>
    <font>
      <sz val="8.5"/>
      <color rgb="FFFFFFFF"/>
      <name val="Arial"/>
      <family val="0"/>
      <charset val="1"/>
    </font>
    <font>
      <b val="true"/>
      <sz val="10.5"/>
      <color rgb="FF0F1E43"/>
      <name val="Arial"/>
      <family val="0"/>
      <charset val="1"/>
    </font>
    <font>
      <sz val="9.5"/>
      <color rgb="FF2B3445"/>
      <name val="Arial"/>
      <family val="0"/>
      <charset val="1"/>
    </font>
    <font>
      <i val="true"/>
      <sz val="7.5"/>
      <color rgb="FF5B6475"/>
      <name val="Arial"/>
      <family val="0"/>
      <charset val="1"/>
    </font>
    <font>
      <b val="true"/>
      <sz val="14"/>
      <color rgb="FF0F1E43"/>
      <name val="Arial"/>
      <family val="0"/>
      <charset val="1"/>
    </font>
    <font>
      <i val="true"/>
      <sz val="9"/>
      <color rgb="FF5B6475"/>
      <name val="Arial"/>
      <family val="0"/>
      <charset val="1"/>
    </font>
    <font>
      <b val="true"/>
      <sz val="11"/>
      <color rgb="FF6CA83C"/>
      <name val="Arial"/>
      <family val="0"/>
      <charset val="1"/>
    </font>
    <font>
      <sz val="10"/>
      <color rgb="FF5B647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CA83C"/>
        <bgColor rgb="FF808080"/>
      </patternFill>
    </fill>
    <fill>
      <patternFill patternType="solid">
        <fgColor rgb="FFEEF2F9"/>
        <bgColor rgb="FFF4F6FA"/>
      </patternFill>
    </fill>
    <fill>
      <patternFill patternType="solid">
        <fgColor rgb="FFFFF4CC"/>
        <bgColor rgb="FFFEF1C7"/>
      </patternFill>
    </fill>
    <fill>
      <patternFill patternType="solid">
        <fgColor rgb="FFF4F6FA"/>
        <bgColor rgb="FFEEF2F9"/>
      </patternFill>
    </fill>
    <fill>
      <patternFill patternType="solid">
        <fgColor rgb="FF0F1E43"/>
        <bgColor rgb="FF1B3263"/>
      </patternFill>
    </fill>
    <fill>
      <patternFill patternType="solid">
        <fgColor rgb="FF1B3263"/>
        <bgColor rgb="FF2B344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E1F0"/>
      </left>
      <right style="thin">
        <color rgb="FFD9E1F0"/>
      </right>
      <top style="thin">
        <color rgb="FFD9E1F0"/>
      </top>
      <bottom style="thin">
        <color rgb="FFD9E1F0"/>
      </bottom>
      <diagonal/>
    </border>
    <border diagonalUp="false" diagonalDown="false">
      <left style="thin">
        <color rgb="FFF5C030"/>
      </left>
      <right style="thin">
        <color rgb="FFF5C030"/>
      </right>
      <top style="thin">
        <color rgb="FFF5C030"/>
      </top>
      <bottom style="thin">
        <color rgb="FFF5C030"/>
      </bottom>
      <diagonal/>
    </border>
    <border diagonalUp="false" diagonalDown="false">
      <left style="thin">
        <color rgb="FF1B3263"/>
      </left>
      <right style="thin">
        <color rgb="FF1B3263"/>
      </right>
      <top style="thin">
        <color rgb="FF1B3263"/>
      </top>
      <bottom style="thin">
        <color rgb="FF1B3263"/>
      </bottom>
      <diagonal/>
    </border>
    <border diagonalUp="false" diagonalDown="false">
      <left/>
      <right/>
      <top/>
      <bottom style="thin">
        <color rgb="FFD9E1F0"/>
      </bottom>
      <diagonal/>
    </border>
    <border diagonalUp="false" diagonalDown="false">
      <left/>
      <right/>
      <top/>
      <bottom style="medium">
        <color rgb="FF6CA8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2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2" xfId="0" applyFont="true" applyBorder="true" applyAlignment="true" applyProtection="true">
      <alignment horizontal="general" vertical="center" textRotation="0" wrapText="true" indent="1" shrinkToFit="false"/>
      <protection locked="false" hidden="false"/>
    </xf>
    <xf numFmtId="166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6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25" fillId="6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6" borderId="0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7" fillId="6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2F6B1A"/>
      </font>
      <fill>
        <patternFill>
          <bgColor rgb="FFF2F8EC"/>
        </patternFill>
      </fill>
    </dxf>
    <dxf>
      <font>
        <color rgb="FFA95F0F"/>
      </font>
      <fill>
        <patternFill>
          <bgColor rgb="FFFEF1C7"/>
        </patternFill>
      </fill>
    </dxf>
    <dxf>
      <font>
        <b val="1"/>
        <color rgb="FFC0392B"/>
      </font>
    </dxf>
    <dxf>
      <fill>
        <patternFill>
          <bgColor rgb="FF6CA83C"/>
        </patternFill>
      </fill>
    </dxf>
    <dxf>
      <fill>
        <patternFill>
          <bgColor rgb="FFF2F8EC"/>
        </patternFill>
      </fill>
    </dxf>
    <dxf>
      <border diagonalUp="false" diagonalDown="false">
        <left/>
        <right/>
        <top/>
        <bottom style="thin">
          <color rgb="FFD9E1F0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1A"/>
      <rgbColor rgb="FF000080"/>
      <rgbColor rgb="FFA95F0F"/>
      <rgbColor rgb="FF800080"/>
      <rgbColor rgb="FF008080"/>
      <rgbColor rgb="FFC0C0C0"/>
      <rgbColor rgb="FF808080"/>
      <rgbColor rgb="FF9999FF"/>
      <rgbColor rgb="FF993366"/>
      <rgbColor rgb="FFFFF4CC"/>
      <rgbColor rgb="FFEEF2F9"/>
      <rgbColor rgb="FF660066"/>
      <rgbColor rgb="FFFF8080"/>
      <rgbColor rgb="FF0066CC"/>
      <rgbColor rgb="FFD9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EC"/>
      <rgbColor rgb="FFF4F6FA"/>
      <rgbColor rgb="FFFEF1C7"/>
      <rgbColor rgb="FF99CCFF"/>
      <rgbColor rgb="FFFF99CC"/>
      <rgbColor rgb="FFCC99FF"/>
      <rgbColor rgb="FFFFCC99"/>
      <rgbColor rgb="FF3366FF"/>
      <rgbColor rgb="FF33CCCC"/>
      <rgbColor rgb="FF99CC00"/>
      <rgbColor rgb="FFF5C030"/>
      <rgbColor rgb="FFFF9900"/>
      <rgbColor rgb="FFFF6600"/>
      <rgbColor rgb="FF5B6475"/>
      <rgbColor rgb="FF969696"/>
      <rgbColor rgb="FF1B3263"/>
      <rgbColor rgb="FF6CA83C"/>
      <rgbColor rgb="FF0F1E43"/>
      <rgbColor rgb="FF333300"/>
      <rgbColor rgb="FFC0392B"/>
      <rgbColor rgb="FF993366"/>
      <rgbColor rgb="FF333399"/>
      <rgbColor rgb="FF2B34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1676160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6400" y="0"/>
          <a:ext cx="167616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1727640</xdr:colOff>
      <xdr:row>3</xdr:row>
      <xdr:rowOff>114120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8190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9.5" hidden="false" customHeight="true" outlineLevel="0" collapsed="false">
      <c r="C1" s="1" t="s">
        <v>0</v>
      </c>
      <c r="D1" s="1"/>
      <c r="E1" s="1"/>
      <c r="F1" s="1"/>
      <c r="G1" s="1"/>
    </row>
    <row r="2" customFormat="false" ht="19.5" hidden="false" customHeight="true" outlineLevel="0" collapsed="false">
      <c r="C2" s="2" t="s">
        <v>1</v>
      </c>
      <c r="D2" s="2"/>
      <c r="E2" s="2"/>
      <c r="F2" s="2"/>
      <c r="G2" s="2"/>
    </row>
    <row r="3" customFormat="false" ht="19.5" hidden="false" customHeight="true" outlineLevel="0" collapsed="false">
      <c r="C3" s="3" t="s">
        <v>2</v>
      </c>
      <c r="D3" s="3"/>
      <c r="E3" s="3"/>
      <c r="F3" s="3"/>
      <c r="G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</row>
    <row r="6" customFormat="false" ht="45.75" hidden="false" customHeight="true" outlineLevel="0" collapsed="false">
      <c r="B6" s="5" t="s">
        <v>3</v>
      </c>
      <c r="C6" s="5"/>
      <c r="D6" s="5"/>
      <c r="E6" s="5"/>
      <c r="F6" s="5"/>
      <c r="G6" s="5"/>
    </row>
    <row r="7" customFormat="false" ht="15" hidden="false" customHeight="false" outlineLevel="0" collapsed="false">
      <c r="B7" s="6" t="s">
        <v>4</v>
      </c>
      <c r="C7" s="7" t="s">
        <v>5</v>
      </c>
      <c r="D7" s="8" t="s">
        <v>6</v>
      </c>
      <c r="E7" s="8"/>
      <c r="F7" s="8"/>
      <c r="G7" s="8"/>
    </row>
    <row r="9" customFormat="false" ht="21.75" hidden="false" customHeight="true" outlineLevel="0" collapsed="false">
      <c r="B9" s="9" t="s">
        <v>7</v>
      </c>
      <c r="C9" s="9"/>
      <c r="D9" s="9"/>
      <c r="E9" s="9"/>
      <c r="F9" s="9"/>
      <c r="G9" s="9"/>
    </row>
    <row r="10" customFormat="false" ht="19.5" hidden="false" customHeight="true" outlineLevel="0" collapsed="false">
      <c r="B10" s="10" t="s">
        <v>8</v>
      </c>
      <c r="C10" s="11" t="n">
        <v>46308</v>
      </c>
      <c r="D10" s="12" t="s">
        <v>9</v>
      </c>
      <c r="E10" s="12"/>
      <c r="F10" s="12"/>
      <c r="G10" s="12"/>
    </row>
    <row r="11" customFormat="false" ht="19.5" hidden="false" customHeight="true" outlineLevel="0" collapsed="false">
      <c r="B11" s="10" t="s">
        <v>10</v>
      </c>
      <c r="C11" s="13" t="s">
        <v>11</v>
      </c>
      <c r="D11" s="13"/>
      <c r="E11" s="12" t="s">
        <v>12</v>
      </c>
      <c r="F11" s="12"/>
      <c r="G11" s="12"/>
    </row>
    <row r="12" customFormat="false" ht="19.5" hidden="false" customHeight="true" outlineLevel="0" collapsed="false">
      <c r="B12" s="10" t="s">
        <v>13</v>
      </c>
      <c r="C12" s="11"/>
      <c r="D12" s="12" t="s">
        <v>14</v>
      </c>
      <c r="E12" s="12"/>
      <c r="F12" s="12"/>
      <c r="G12" s="12"/>
    </row>
    <row r="13" customFormat="false" ht="19.5" hidden="false" customHeight="true" outlineLevel="0" collapsed="false"/>
    <row r="14" customFormat="false" ht="21.75" hidden="false" customHeight="true" outlineLevel="0" collapsed="false">
      <c r="B14" s="9" t="s">
        <v>15</v>
      </c>
      <c r="C14" s="9"/>
      <c r="D14" s="9"/>
      <c r="E14" s="9"/>
      <c r="F14" s="9"/>
      <c r="G14" s="9"/>
    </row>
    <row r="15" customFormat="false" ht="19.5" hidden="false" customHeight="true" outlineLevel="0" collapsed="false">
      <c r="B15" s="14" t="s">
        <v>16</v>
      </c>
      <c r="C15" s="13" t="s">
        <v>17</v>
      </c>
      <c r="D15" s="13"/>
      <c r="E15" s="13"/>
    </row>
    <row r="16" customFormat="false" ht="19.5" hidden="false" customHeight="true" outlineLevel="0" collapsed="false"/>
    <row r="17" customFormat="false" ht="21.75" hidden="false" customHeight="true" outlineLevel="0" collapsed="false">
      <c r="B17" s="9" t="s">
        <v>18</v>
      </c>
      <c r="C17" s="9"/>
      <c r="D17" s="9"/>
      <c r="E17" s="9"/>
      <c r="F17" s="9"/>
      <c r="G17" s="9"/>
    </row>
    <row r="18" customFormat="false" ht="19.5" hidden="false" customHeight="true" outlineLevel="0" collapsed="false">
      <c r="B18" s="14" t="s">
        <v>19</v>
      </c>
      <c r="C18" s="13" t="s">
        <v>20</v>
      </c>
      <c r="D18" s="13"/>
      <c r="E18" s="15" t="s">
        <v>21</v>
      </c>
      <c r="F18" s="16" t="n">
        <f aca="false">IFERROR(INDEX(TARIFAS!$F$6:$F$9,MATCH($C$18,TARIFAS!$A$6:$A$9,0)),"")</f>
        <v>39.99</v>
      </c>
    </row>
    <row r="19" customFormat="false" ht="30" hidden="false" customHeight="true" outlineLevel="0" collapsed="false">
      <c r="B19" s="10" t="s">
        <v>22</v>
      </c>
      <c r="C19" s="17" t="str">
        <f aca="false">IFERROR(INDEX(TARIFAS!$C$6:$C$9,MATCH($C$18,TARIFAS!$A$6:$A$9,0)),"Elige una tarifa")</f>
        <v>Fibra 1000 Mb · Router WiFi 6 · Instalación gratis · 2 líneas móviles 5G con datos ilimitados y llamadas ilimitadas · 12 meses de Amazon Prime</v>
      </c>
      <c r="D19" s="17"/>
      <c r="E19" s="17"/>
      <c r="F19" s="17"/>
      <c r="G19" s="17"/>
    </row>
    <row r="20" customFormat="false" ht="19.5" hidden="false" customHeight="true" outlineLevel="0" collapsed="false">
      <c r="B20" s="10" t="s">
        <v>23</v>
      </c>
      <c r="C20" s="18" t="n">
        <f aca="false">IFERROR(INDEX(TARIFAS!$D$6:$D$9,MATCH($C$18,TARIFAS!$A$6:$A$9,0)),0)</f>
        <v>2</v>
      </c>
      <c r="D20" s="12" t="s">
        <v>24</v>
      </c>
      <c r="E20" s="12"/>
      <c r="F20" s="12"/>
      <c r="G20" s="12"/>
    </row>
    <row r="21" customFormat="false" ht="19.5" hidden="false" customHeight="true" outlineLevel="0" collapsed="false"/>
    <row r="22" customFormat="false" ht="21.75" hidden="false" customHeight="true" outlineLevel="0" collapsed="false">
      <c r="B22" s="9" t="s">
        <v>25</v>
      </c>
      <c r="C22" s="9"/>
      <c r="D22" s="9"/>
      <c r="E22" s="9"/>
      <c r="F22" s="9"/>
      <c r="G22" s="9"/>
    </row>
    <row r="23" customFormat="false" ht="25.5" hidden="false" customHeight="true" outlineLevel="0" collapsed="false">
      <c r="B23" s="19" t="s">
        <v>26</v>
      </c>
      <c r="C23" s="19" t="s">
        <v>27</v>
      </c>
      <c r="D23" s="19" t="s">
        <v>28</v>
      </c>
      <c r="E23" s="19" t="s">
        <v>29</v>
      </c>
      <c r="F23" s="19" t="s">
        <v>30</v>
      </c>
      <c r="G23" s="19" t="s">
        <v>31</v>
      </c>
    </row>
    <row r="24" customFormat="false" ht="19.5" hidden="false" customHeight="true" outlineLevel="0" collapsed="false">
      <c r="B24" s="14" t="s">
        <v>32</v>
      </c>
      <c r="C24" s="20" t="s">
        <v>33</v>
      </c>
      <c r="D24" s="21"/>
      <c r="E24" s="22" t="str">
        <f aca="false">IF(C24="","",IF(1&lt;=$C$20,INDEX(TARIFAS!$E$6:$E$9,MATCH($C$18,TARIFAS!$A$6:$A$9,0)),D24))</f>
        <v>Datos ilimitados (5G)</v>
      </c>
      <c r="F24" s="16" t="n">
        <f aca="false">IF(OR(C24="",D24="",1&lt;=$C$20),0,N(IFERROR(INDEX(TARIFAS!$B$13:$E$16,MATCH($C$18,TARIFAS!$A$13:$A$16,0),MATCH(D24,TARIFAS!$B$12:$E$12,0)),0)))</f>
        <v>0</v>
      </c>
      <c r="G24" s="17" t="str">
        <f aca="false">IF(AND(C24="",D24=""),"",IF(C24="","⚠ Falta el número",IF(LEN(C24)&lt;&gt;9,"⚠ El número debe tener 9 dígitos",IF($C$18="","⚠ Elige primero la tarifa",IF(1&lt;=$C$20,"✔ Incluida en la tarifa",IF(D24="","⚠ Elige el bono de datos",IF(ISNUMBER(IFERROR(INDEX(TARIFAS!$B$13:$E$16,MATCH($C$18,TARIFAS!$A$13:$A$16,0),MATCH(D24,TARIFAS!$B$12:$E$12,0)),"")),"✔ Línea adicional","⚠ Bono no disponible con esta tarifa")))))))</f>
        <v>✔ Incluida en la tarifa</v>
      </c>
    </row>
    <row r="25" customFormat="false" ht="19.5" hidden="false" customHeight="true" outlineLevel="0" collapsed="false">
      <c r="B25" s="10" t="s">
        <v>34</v>
      </c>
      <c r="C25" s="20" t="s">
        <v>35</v>
      </c>
      <c r="D25" s="21"/>
      <c r="E25" s="22" t="str">
        <f aca="false">IF(C25="","",IF(2&lt;=$C$20,INDEX(TARIFAS!$E$6:$E$9,MATCH($C$18,TARIFAS!$A$6:$A$9,0)),D25))</f>
        <v>Datos ilimitados (5G)</v>
      </c>
      <c r="F25" s="16" t="n">
        <f aca="false">IF(OR(C25="",D25="",2&lt;=$C$20),0,N(IFERROR(INDEX(TARIFAS!$B$13:$E$16,MATCH($C$18,TARIFAS!$A$13:$A$16,0),MATCH(D25,TARIFAS!$B$12:$E$12,0)),0)))</f>
        <v>0</v>
      </c>
      <c r="G25" s="17" t="str">
        <f aca="false">IF(AND(C25="",D25=""),"",IF(C25="","⚠ Falta el número",IF(LEN(C25)&lt;&gt;9,"⚠ El número debe tener 9 dígitos",IF($C$18="","⚠ Elige primero la tarifa",IF(2&lt;=$C$20,"✔ Incluida en la tarifa",IF(D25="","⚠ Elige el bono de datos",IF(ISNUMBER(IFERROR(INDEX(TARIFAS!$B$13:$E$16,MATCH($C$18,TARIFAS!$A$13:$A$16,0),MATCH(D25,TARIFAS!$B$12:$E$12,0)),"")),"✔ Línea adicional","⚠ Bono no disponible con esta tarifa")))))))</f>
        <v>✔ Incluida en la tarifa</v>
      </c>
    </row>
    <row r="26" customFormat="false" ht="19.5" hidden="false" customHeight="true" outlineLevel="0" collapsed="false">
      <c r="B26" s="10" t="s">
        <v>36</v>
      </c>
      <c r="C26" s="20" t="s">
        <v>37</v>
      </c>
      <c r="D26" s="21" t="s">
        <v>38</v>
      </c>
      <c r="E26" s="22" t="str">
        <f aca="false">IF(C26="","",IF(3&lt;=$C$20,INDEX(TARIFAS!$E$6:$E$9,MATCH($C$18,TARIFAS!$A$6:$A$9,0)),D26))</f>
        <v>Datos ilimitados</v>
      </c>
      <c r="F26" s="16" t="n">
        <f aca="false">IF(OR(C26="",D26="",3&lt;=$C$20),0,N(IFERROR(INDEX(TARIFAS!$B$13:$E$16,MATCH($C$18,TARIFAS!$A$13:$A$16,0),MATCH(D26,TARIFAS!$B$12:$E$12,0)),0)))</f>
        <v>10</v>
      </c>
      <c r="G26" s="17" t="str">
        <f aca="false">IF(AND(C26="",D26=""),"",IF(C26="","⚠ Falta el número",IF(LEN(C26)&lt;&gt;9,"⚠ El número debe tener 9 dígitos",IF($C$18="","⚠ Elige primero la tarifa",IF(3&lt;=$C$20,"✔ Incluida en la tarifa",IF(D26="","⚠ Elige el bono de datos",IF(ISNUMBER(IFERROR(INDEX(TARIFAS!$B$13:$E$16,MATCH($C$18,TARIFAS!$A$13:$A$16,0),MATCH(D26,TARIFAS!$B$12:$E$12,0)),"")),"✔ Línea adicional","⚠ Bono no disponible con esta tarifa")))))))</f>
        <v>✔ Línea adicional</v>
      </c>
    </row>
    <row r="27" customFormat="false" ht="19.5" hidden="false" customHeight="true" outlineLevel="0" collapsed="false">
      <c r="B27" s="10" t="s">
        <v>39</v>
      </c>
      <c r="C27" s="20"/>
      <c r="D27" s="21"/>
      <c r="E27" s="22" t="str">
        <f aca="false">IF(C27="","",IF(4&lt;=$C$20,INDEX(TARIFAS!$E$6:$E$9,MATCH($C$18,TARIFAS!$A$6:$A$9,0)),D27))</f>
        <v/>
      </c>
      <c r="F27" s="16" t="n">
        <f aca="false">IF(OR(C27="",D27="",4&lt;=$C$20),0,N(IFERROR(INDEX(TARIFAS!$B$13:$E$16,MATCH($C$18,TARIFAS!$A$13:$A$16,0),MATCH(D27,TARIFAS!$B$12:$E$12,0)),0)))</f>
        <v>0</v>
      </c>
      <c r="G27" s="17" t="str">
        <f aca="false">IF(AND(C27="",D27=""),"",IF(C27="","⚠ Falta el número",IF(LEN(C27)&lt;&gt;9,"⚠ El número debe tener 9 dígitos",IF($C$18="","⚠ Elige primero la tarifa",IF(4&lt;=$C$20,"✔ Incluida en la tarifa",IF(D27="","⚠ Elige el bono de datos",IF(ISNUMBER(IFERROR(INDEX(TARIFAS!$B$13:$E$16,MATCH($C$18,TARIFAS!$A$13:$A$16,0),MATCH(D27,TARIFAS!$B$12:$E$12,0)),"")),"✔ Línea adicional","⚠ Bono no disponible con esta tarifa")))))))</f>
        <v/>
      </c>
    </row>
    <row r="28" customFormat="false" ht="19.5" hidden="false" customHeight="true" outlineLevel="0" collapsed="false">
      <c r="B28" s="10" t="s">
        <v>40</v>
      </c>
      <c r="C28" s="20"/>
      <c r="D28" s="21"/>
      <c r="E28" s="22" t="str">
        <f aca="false">IF(C28="","",IF(5&lt;=$C$20,INDEX(TARIFAS!$E$6:$E$9,MATCH($C$18,TARIFAS!$A$6:$A$9,0)),D28))</f>
        <v/>
      </c>
      <c r="F28" s="16" t="n">
        <f aca="false">IF(OR(C28="",D28="",5&lt;=$C$20),0,N(IFERROR(INDEX(TARIFAS!$B$13:$E$16,MATCH($C$18,TARIFAS!$A$13:$A$16,0),MATCH(D28,TARIFAS!$B$12:$E$12,0)),0)))</f>
        <v>0</v>
      </c>
      <c r="G28" s="17" t="str">
        <f aca="false">IF(AND(C28="",D28=""),"",IF(C28="","⚠ Falta el número",IF(LEN(C28)&lt;&gt;9,"⚠ El número debe tener 9 dígitos",IF($C$18="","⚠ Elige primero la tarifa",IF(5&lt;=$C$20,"✔ Incluida en la tarifa",IF(D28="","⚠ Elige el bono de datos",IF(ISNUMBER(IFERROR(INDEX(TARIFAS!$B$13:$E$16,MATCH($C$18,TARIFAS!$A$13:$A$16,0),MATCH(D28,TARIFAS!$B$12:$E$12,0)),"")),"✔ Línea adicional","⚠ Bono no disponible con esta tarifa")))))))</f>
        <v/>
      </c>
    </row>
    <row r="29" customFormat="false" ht="19.5" hidden="false" customHeight="true" outlineLevel="0" collapsed="false"/>
    <row r="30" customFormat="false" ht="21.75" hidden="false" customHeight="true" outlineLevel="0" collapsed="false">
      <c r="B30" s="9" t="s">
        <v>41</v>
      </c>
      <c r="C30" s="9"/>
      <c r="D30" s="9"/>
      <c r="E30" s="9"/>
      <c r="F30" s="9"/>
      <c r="G30" s="9"/>
    </row>
    <row r="31" customFormat="false" ht="19.5" hidden="false" customHeight="true" outlineLevel="0" collapsed="false">
      <c r="B31" s="10" t="s">
        <v>42</v>
      </c>
      <c r="C31" s="20" t="s">
        <v>43</v>
      </c>
      <c r="D31" s="12" t="s">
        <v>44</v>
      </c>
      <c r="E31" s="12"/>
      <c r="F31" s="12"/>
      <c r="G31" s="12"/>
    </row>
    <row r="32" customFormat="false" ht="19.5" hidden="false" customHeight="true" outlineLevel="0" collapsed="false"/>
    <row r="33" customFormat="false" ht="21.75" hidden="false" customHeight="true" outlineLevel="0" collapsed="false">
      <c r="B33" s="9" t="s">
        <v>45</v>
      </c>
      <c r="C33" s="9"/>
      <c r="D33" s="9"/>
      <c r="E33" s="9"/>
      <c r="F33" s="9"/>
      <c r="G33" s="9"/>
    </row>
    <row r="34" customFormat="false" ht="19.5" hidden="false" customHeight="true" outlineLevel="0" collapsed="false">
      <c r="B34" s="10" t="s">
        <v>46</v>
      </c>
      <c r="C34" s="21" t="s">
        <v>47</v>
      </c>
      <c r="D34" s="12" t="s">
        <v>48</v>
      </c>
      <c r="E34" s="12"/>
      <c r="F34" s="12"/>
      <c r="G34" s="12"/>
    </row>
    <row r="35" customFormat="false" ht="19.5" hidden="false" customHeight="true" outlineLevel="0" collapsed="false">
      <c r="B35" s="10" t="s">
        <v>49</v>
      </c>
      <c r="C35" s="21" t="s">
        <v>50</v>
      </c>
      <c r="D35" s="12" t="s">
        <v>51</v>
      </c>
      <c r="E35" s="12"/>
      <c r="F35" s="12"/>
      <c r="G35" s="12"/>
    </row>
    <row r="36" customFormat="false" ht="19.5" hidden="false" customHeight="true" outlineLevel="0" collapsed="false">
      <c r="B36" s="10" t="s">
        <v>52</v>
      </c>
      <c r="C36" s="23" t="n">
        <v>1</v>
      </c>
      <c r="D36" s="12" t="s">
        <v>53</v>
      </c>
      <c r="E36" s="12"/>
      <c r="F36" s="12"/>
      <c r="G36" s="12"/>
    </row>
    <row r="37" customFormat="false" ht="36" hidden="false" customHeight="true" outlineLevel="0" collapsed="false">
      <c r="B37" s="10" t="s">
        <v>54</v>
      </c>
      <c r="C37" s="24"/>
      <c r="D37" s="24"/>
      <c r="E37" s="24"/>
      <c r="F37" s="24"/>
      <c r="G37" s="24"/>
    </row>
    <row r="38" customFormat="false" ht="19.5" hidden="false" customHeight="true" outlineLevel="0" collapsed="false"/>
    <row r="39" customFormat="false" ht="21.75" hidden="false" customHeight="true" outlineLevel="0" collapsed="false">
      <c r="B39" s="9" t="s">
        <v>55</v>
      </c>
      <c r="C39" s="9"/>
      <c r="D39" s="9"/>
      <c r="E39" s="9"/>
      <c r="F39" s="9"/>
      <c r="G39" s="9"/>
    </row>
    <row r="40" customFormat="false" ht="19.5" hidden="false" customHeight="true" outlineLevel="0" collapsed="false">
      <c r="B40" s="10" t="s">
        <v>56</v>
      </c>
      <c r="C40" s="16" t="n">
        <f aca="false">IFERROR(INDEX(TARIFAS!$F$6:$F$9,MATCH($C$18,TARIFAS!$A$6:$A$9,0)),0)+SUM(F24:F28)+IF(C31&lt;&gt;"",TARIFAS!$B$21,0)+IF(C34="Sí",TARIFAS!$B$22,0)+IF(AND(C34="Sí",C35="Sí"),TARIFAS!$B$23,0)+N(C36)*TARIFAS!$B$24</f>
        <v>63.98</v>
      </c>
      <c r="D40" s="12" t="s">
        <v>57</v>
      </c>
      <c r="E40" s="12"/>
      <c r="F40" s="12"/>
      <c r="G40" s="12"/>
    </row>
    <row r="41" customFormat="false" ht="19.5" hidden="false" customHeight="true" outlineLevel="0" collapsed="false">
      <c r="B41" s="14" t="s">
        <v>58</v>
      </c>
      <c r="C41" s="25" t="n">
        <v>59.9</v>
      </c>
      <c r="D41" s="12" t="s">
        <v>59</v>
      </c>
      <c r="E41" s="12"/>
      <c r="F41" s="12"/>
      <c r="G41" s="12"/>
    </row>
    <row r="42" customFormat="false" ht="19.5" hidden="false" customHeight="true" outlineLevel="0" collapsed="false">
      <c r="B42" s="10" t="s">
        <v>60</v>
      </c>
      <c r="C42" s="26" t="n">
        <f aca="false">IF(ISNUMBER(C41),C41,C40)</f>
        <v>59.9</v>
      </c>
    </row>
    <row r="43" customFormat="false" ht="19.5" hidden="false" customHeight="true" outlineLevel="0" collapsed="false"/>
    <row r="44" customFormat="false" ht="21.75" hidden="false" customHeight="true" outlineLevel="0" collapsed="false">
      <c r="B44" s="9" t="s">
        <v>61</v>
      </c>
      <c r="C44" s="9"/>
      <c r="D44" s="9"/>
      <c r="E44" s="9"/>
      <c r="F44" s="9"/>
      <c r="G44" s="9"/>
    </row>
    <row r="45" customFormat="false" ht="27.75" hidden="false" customHeight="true" outlineLevel="0" collapsed="false">
      <c r="B45" s="27" t="str">
        <f aca="false">IF(C15="","⚠ Falta el nombre completo del cliente",IF(C18="","⚠ Elige la tarifa AVATEL",IF(SUMPRODUCT(--(LEFT(G24:G28,1)="⚠"))&gt;0,"⚠ Revisa las líneas móviles (columna Comprobación)",IF(AND(C31&lt;&gt;"",LEN(C31)&lt;&gt;9),"⚠ El teléfono fijo debe tener 9 dígitos",IF(AND(C35="Sí",C34&lt;&gt;"Sí"),"⚠ El Canal Local requiere CLICtv con deco",IF(NOT(ISNUMBER(C41)),"ℹ Sin precio propio: el PDF mostrará el precio orientativo","✔ Oferta lista: ve a la hoja OFERTA y expórtala a PDF"))))))</f>
        <v>✔ Oferta lista: ve a la hoja OFERTA y expórtala a PDF</v>
      </c>
      <c r="C45" s="27"/>
      <c r="D45" s="27"/>
      <c r="E45" s="27"/>
      <c r="F45" s="27"/>
      <c r="G45" s="27"/>
    </row>
  </sheetData>
  <sheetProtection sheet="true" formatColumns="false" formatRows="false"/>
  <mergeCells count="29">
    <mergeCell ref="C1:G1"/>
    <mergeCell ref="C2:G2"/>
    <mergeCell ref="C3:G3"/>
    <mergeCell ref="B6:G6"/>
    <mergeCell ref="D7:G7"/>
    <mergeCell ref="B9:G9"/>
    <mergeCell ref="D10:G10"/>
    <mergeCell ref="C11:D11"/>
    <mergeCell ref="E11:G11"/>
    <mergeCell ref="D12:G12"/>
    <mergeCell ref="B14:G14"/>
    <mergeCell ref="C15:E15"/>
    <mergeCell ref="B17:G17"/>
    <mergeCell ref="C18:D18"/>
    <mergeCell ref="C19:G19"/>
    <mergeCell ref="D20:G20"/>
    <mergeCell ref="B22:G22"/>
    <mergeCell ref="B30:G30"/>
    <mergeCell ref="D31:G31"/>
    <mergeCell ref="B33:G33"/>
    <mergeCell ref="D34:G34"/>
    <mergeCell ref="D35:G35"/>
    <mergeCell ref="D36:G36"/>
    <mergeCell ref="C37:G37"/>
    <mergeCell ref="B39:G39"/>
    <mergeCell ref="D40:G40"/>
    <mergeCell ref="D41:G41"/>
    <mergeCell ref="B44:G44"/>
    <mergeCell ref="B45:G45"/>
  </mergeCells>
  <conditionalFormatting sqref="B45:G45">
    <cfRule type="expression" priority="2" aboveAverage="0" equalAverage="0" bottom="0" percent="0" rank="0" text="" dxfId="0">
      <formula>LEFT($B$45,1)="✔"</formula>
    </cfRule>
    <cfRule type="expression" priority="3" aboveAverage="0" equalAverage="0" bottom="0" percent="0" rank="0" text="" dxfId="1">
      <formula>LEFT($B$45,1)&lt;&gt;"✔"</formula>
    </cfRule>
  </conditionalFormatting>
  <conditionalFormatting sqref="G24:G28">
    <cfRule type="expression" priority="4" aboveAverage="0" equalAverage="0" bottom="0" percent="0" rank="0" text="" dxfId="2">
      <formula>LEFT($G24,1)="⚠"</formula>
    </cfRule>
  </conditionalFormatting>
  <dataValidations count="7">
    <dataValidation allowBlank="true" error="Introduce una fecha válida (dd/mm/aaaa)." errorStyle="stop" errorTitle="Fecha" operator="greaterThan" showDropDown="false" showErrorMessage="true" showInputMessage="false" sqref="C10 C12" type="date">
      <formula1>43831</formula1>
      <formula2>0</formula2>
    </dataValidation>
    <dataValidation allowBlank="true" error="Elige una tarifa de la lista." errorStyle="stop" errorTitle="Tarifa" operator="between" showDropDown="false" showErrorMessage="true" showInputMessage="false" sqref="C18" type="list">
      <formula1>TARIFAS!$A$6:$A$9</formula1>
      <formula2>0</formula2>
    </dataValidation>
    <dataValidation allowBlank="true" error="Elige un bono de la lista." errorStyle="stop" errorTitle="Bono" operator="between" showDropDown="false" showErrorMessage="true" showInputMessage="false" sqref="D24:D28" type="list">
      <formula1>TARIFAS!$B$12:$E$12</formula1>
      <formula2>0</formula2>
    </dataValidation>
    <dataValidation allowBlank="true" error="El número debe tener 9 dígitos, sin espacios ni prefijo." errorStyle="stop" errorTitle="Teléfono" operator="equal" showDropDown="false" showErrorMessage="true" showInputMessage="false" sqref="C24:C28 C31" type="textLength">
      <formula1>9</formula1>
      <formula2>0</formula2>
    </dataValidation>
    <dataValidation allowBlank="true" error="Elige Sí o No." errorStyle="stop" errorTitle="Sí / No" operator="between" showDropDown="false" showErrorMessage="true" showInputMessage="false" sqref="C34:C35" type="list">
      <formula1>"Sí,No"</formula1>
      <formula2>0</formula2>
    </dataValidation>
    <dataValidation allowBlank="true" error="Entre 0 y 5 dispositivos." errorStyle="stop" errorTitle="Mesh" operator="between" showDropDown="false" showErrorMessage="true" showInputMessage="false" sqref="C36" type="whole">
      <formula1>0</formula1>
      <formula2>5</formula2>
    </dataValidation>
    <dataValidation allowBlank="true" error="Introduce el precio mensual en euros (ej. 49,90)." errorStyle="stop" errorTitle="Precio" operator="greaterThanOrEqual" showDropDown="false" showErrorMessage="true" showInputMessage="false" sqref="C4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3"/>
    <col collapsed="false" customWidth="true" hidden="false" outlineLevel="0" max="2" min="2" style="0" width="25"/>
    <col collapsed="false" customWidth="true" hidden="false" outlineLevel="0" max="3" min="3" style="0" width="1.51"/>
    <col collapsed="false" customWidth="true" hidden="false" outlineLevel="0" max="7" min="4" style="0" width="17"/>
  </cols>
  <sheetData>
    <row r="1" customFormat="false" ht="16.5" hidden="false" customHeight="true" outlineLevel="0" collapsed="false">
      <c r="D1" s="28" t="str">
        <f aca="false">TARIFAS!$B$27&amp;""</f>
        <v>MESENERGIA</v>
      </c>
      <c r="E1" s="28"/>
      <c r="F1" s="28"/>
      <c r="G1" s="28"/>
    </row>
    <row r="2" customFormat="false" ht="16.5" hidden="false" customHeight="true" outlineLevel="0" collapsed="false">
      <c r="D2" s="29" t="str">
        <f aca="false">TARIFAS!$B$28&amp;""</f>
        <v>www.mesenergia.es</v>
      </c>
      <c r="E2" s="29"/>
      <c r="F2" s="29"/>
      <c r="G2" s="29"/>
    </row>
    <row r="3" customFormat="false" ht="16.5" hidden="false" customHeight="true" outlineLevel="0" collapsed="false">
      <c r="D3" s="29" t="str">
        <f aca="false">TARIFAS!$B$29&amp;""</f>
        <v/>
      </c>
      <c r="E3" s="29"/>
      <c r="F3" s="29"/>
      <c r="G3" s="29"/>
    </row>
    <row r="4" customFormat="false" ht="16.5" hidden="false" customHeight="true" outlineLevel="0" collapsed="false">
      <c r="D4" s="29" t="str">
        <f aca="false">TARIFAS!$B$30&amp;""</f>
        <v/>
      </c>
      <c r="E4" s="29"/>
      <c r="F4" s="29"/>
      <c r="G4" s="29"/>
    </row>
    <row r="5" customFormat="false" ht="7.5" hidden="false" customHeight="true" outlineLevel="0" collapsed="false"/>
    <row r="6" customFormat="false" ht="3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2" hidden="false" customHeight="true" outlineLevel="0" collapsed="false"/>
    <row r="8" customFormat="false" ht="33.75" hidden="false" customHeight="true" outlineLevel="0" collapsed="false">
      <c r="A8" s="30" t="s">
        <v>62</v>
      </c>
      <c r="B8" s="30"/>
      <c r="C8" s="30"/>
      <c r="D8" s="30"/>
      <c r="E8" s="30"/>
      <c r="F8" s="30"/>
      <c r="G8" s="30"/>
    </row>
    <row r="9" customFormat="false" ht="13.5" hidden="false" customHeight="true" outlineLevel="0" collapsed="false"/>
    <row r="10" customFormat="false" ht="12.75" hidden="false" customHeight="true" outlineLevel="0" collapsed="false">
      <c r="A10" s="31" t="s">
        <v>63</v>
      </c>
      <c r="B10" s="31"/>
      <c r="C10" s="31"/>
      <c r="D10" s="31"/>
      <c r="E10" s="32" t="s">
        <v>64</v>
      </c>
      <c r="F10" s="33" t="s">
        <v>65</v>
      </c>
      <c r="G10" s="33"/>
    </row>
    <row r="11" customFormat="false" ht="25.5" hidden="false" customHeight="true" outlineLevel="0" collapsed="false">
      <c r="A11" s="34" t="str">
        <f aca="false">IF(DATOS!$C$15="","—",DATOS!$C$15)</f>
        <v>María López Fernández</v>
      </c>
      <c r="B11" s="34"/>
      <c r="C11" s="34"/>
      <c r="D11" s="34"/>
      <c r="E11" s="35" t="n">
        <f aca="false">IF(DATOS!$C$10="","",DATOS!$C$10)</f>
        <v>46308</v>
      </c>
      <c r="F11" s="36" t="str">
        <f aca="false">IF(DATOS!$C$10="","","AV-"&amp;YEAR(DATOS!$C$10)&amp;RIGHT("0"&amp;MONTH(DATOS!$C$10),2)&amp;RIGHT("0"&amp;DAY(DATOS!$C$10),2)&amp;IF(CALC!$B$3="","","-"&amp;RIGHT(CALC!$B$3,4)))</f>
        <v>AV-20261013-5678</v>
      </c>
      <c r="G11" s="36"/>
    </row>
    <row r="12" customFormat="false" ht="18" hidden="false" customHeight="true" outlineLevel="0" collapsed="false">
      <c r="A12" s="37" t="str">
        <f aca="false">IF(DATOS!$C$11="","","Asesor comercial: "&amp;DATOS!$C$11)</f>
        <v>Asesor comercial: Gabriela</v>
      </c>
      <c r="B12" s="37"/>
      <c r="C12" s="37"/>
      <c r="D12" s="37"/>
      <c r="E12" s="15" t="str">
        <f aca="false">IF(DATOS!$C$12="","","Válida hasta")</f>
        <v/>
      </c>
      <c r="F12" s="38" t="str">
        <f aca="false">IF(DATOS!$C$12="","",DATOS!$C$12)</f>
        <v/>
      </c>
      <c r="G12" s="38"/>
    </row>
    <row r="13" customFormat="false" ht="9.75" hidden="false" customHeight="true" outlineLevel="0" collapsed="false"/>
    <row r="14" customFormat="false" ht="54" hidden="false" customHeight="true" outlineLevel="0" collapsed="false">
      <c r="A14" s="39" t="str">
        <f aca="false">TARIFAS!$B$32&amp;" Pásate a "&amp;TARIFAS!$B$31&amp;" y disfruta de la siguiente oferta, preparada en exclusiva para ti."</f>
        <v>En MESENERGIA somos distribuidores oficiales de AVATEL y comercializamos ofertas exclusivas diseñadas específicamente para nuestros clientes, con condiciones preferentes y promociones especiales no disponibles en otros canales. Pásate a AVATEL y disfruta de la siguiente oferta, preparada en exclusiva para ti.</v>
      </c>
      <c r="B14" s="39"/>
      <c r="C14" s="39"/>
      <c r="D14" s="39"/>
      <c r="E14" s="39"/>
      <c r="F14" s="39"/>
      <c r="G14" s="39"/>
    </row>
    <row r="15" customFormat="false" ht="12" hidden="false" customHeight="true" outlineLevel="0" collapsed="false"/>
    <row r="16" customFormat="false" ht="7.5" hidden="false" customHeight="true" outlineLevel="0" collapsed="false">
      <c r="A16" s="4"/>
      <c r="B16" s="40"/>
      <c r="C16" s="40"/>
      <c r="D16" s="40"/>
      <c r="E16" s="40"/>
      <c r="F16" s="40"/>
      <c r="G16" s="40"/>
    </row>
    <row r="17" customFormat="false" ht="13.5" hidden="false" customHeight="true" outlineLevel="0" collapsed="false">
      <c r="A17" s="4"/>
      <c r="B17" s="41" t="s">
        <v>66</v>
      </c>
      <c r="C17" s="41"/>
      <c r="D17" s="41"/>
      <c r="E17" s="42" t="s">
        <v>67</v>
      </c>
      <c r="F17" s="42"/>
      <c r="G17" s="42"/>
    </row>
    <row r="18" customFormat="false" ht="30" hidden="false" customHeight="true" outlineLevel="0" collapsed="false">
      <c r="A18" s="4"/>
      <c r="B18" s="43" t="str">
        <f aca="false">IFERROR(INDEX(TARIFAS!$B$6:$B$9,MATCH(DATOS!$C$18,TARIFAS!$A$6:$A$9,0)),"Selecciona una tarifa")</f>
        <v>Conecta Sin Límites prime</v>
      </c>
      <c r="C18" s="43"/>
      <c r="D18" s="43"/>
      <c r="E18" s="44" t="n">
        <f aca="false">DATOS!$C$42</f>
        <v>59.9</v>
      </c>
      <c r="F18" s="44"/>
      <c r="G18" s="44"/>
    </row>
    <row r="19" customFormat="false" ht="15.75" hidden="false" customHeight="true" outlineLevel="0" collapsed="false">
      <c r="A19" s="4"/>
      <c r="B19" s="45" t="str">
        <f aca="false">CALC!$D$27</f>
        <v>Fibra 1 Gb  ·  3 líneas móviles  ·  Teléfono fijo  ·  Televisión  ·  Amazon Prime</v>
      </c>
      <c r="C19" s="45"/>
      <c r="D19" s="45"/>
      <c r="E19" s="45"/>
      <c r="F19" s="46" t="s">
        <v>68</v>
      </c>
      <c r="G19" s="46"/>
    </row>
    <row r="20" customFormat="false" ht="7.5" hidden="false" customHeight="true" outlineLevel="0" collapsed="false">
      <c r="A20" s="4"/>
      <c r="B20" s="40"/>
      <c r="C20" s="40"/>
      <c r="D20" s="40"/>
      <c r="E20" s="40"/>
      <c r="F20" s="40"/>
      <c r="G20" s="40"/>
    </row>
    <row r="21" customFormat="false" ht="15.75" hidden="false" customHeight="true" outlineLevel="0" collapsed="false"/>
    <row r="22" customFormat="false" ht="21.75" hidden="false" customHeight="true" outlineLevel="0" collapsed="false">
      <c r="A22" s="47" t="s">
        <v>69</v>
      </c>
      <c r="B22" s="47"/>
      <c r="C22" s="47"/>
      <c r="D22" s="47"/>
      <c r="E22" s="47"/>
      <c r="F22" s="47"/>
      <c r="G22" s="47"/>
    </row>
    <row r="23" customFormat="false" ht="6" hidden="false" customHeight="true" outlineLevel="0" collapsed="false"/>
    <row r="24" customFormat="false" ht="49.5" hidden="false" customHeight="true" outlineLevel="0" collapsed="false">
      <c r="B24" s="48" t="str">
        <f aca="false">CALC!$C$19</f>
        <v>Fibra óptica 1 Gb</v>
      </c>
      <c r="D24" s="49" t="str">
        <f aca="false">CALC!$D$19</f>
        <v>Conexión a Internet de alta velocidad mediante red de fibra óptica de 1 Gb (1000 Mb), con router WiFi 6 incluido e instalación gratuita. Incluye 1 dispositivo Conecta Mesh para ampliar la cobertura WiFi en toda la vivienda.</v>
      </c>
      <c r="E24" s="49"/>
      <c r="F24" s="49"/>
      <c r="G24" s="49"/>
    </row>
    <row r="25" customFormat="false" ht="91.5" hidden="false" customHeight="true" outlineLevel="0" collapsed="false">
      <c r="B25" s="48" t="str">
        <f aca="false">CALC!$C$20</f>
        <v>Telefonía móvil</v>
      </c>
      <c r="D25" s="49" t="str">
        <f aca="false">CALC!$D$20</f>
        <v>Líneas móviles en modalidad de portabilidad, todas con llamadas ilimitadas a destinos nacionales:
•  Línea principal  612 345 678   ·   Datos ilimitados (5G)
•  Línea adicional  623 456 789   ·   Datos ilimitados (5G)
•  Línea adicional  634 567 890   ·   Datos ilimitados</v>
      </c>
      <c r="E25" s="49"/>
      <c r="F25" s="49"/>
      <c r="G25" s="49"/>
    </row>
    <row r="26" customFormat="false" ht="49.5" hidden="false" customHeight="true" outlineLevel="0" collapsed="false">
      <c r="B26" s="48" t="str">
        <f aca="false">CALC!$C$21</f>
        <v>Telefonía fija</v>
      </c>
      <c r="D26" s="49" t="str">
        <f aca="false">CALC!$D$21</f>
        <v>Línea de teléfono fijo en modalidad de portabilidad con el número 944 123 456, con 1.000 minutos a fijos y 1.000 minutos a móviles nacionales.</v>
      </c>
      <c r="E26" s="49"/>
      <c r="F26" s="49"/>
      <c r="G26" s="49"/>
    </row>
    <row r="27" customFormat="false" ht="48" hidden="false" customHeight="true" outlineLevel="0" collapsed="false">
      <c r="B27" s="48" t="str">
        <f aca="false">CALC!$C$22</f>
        <v>Televisión</v>
      </c>
      <c r="D27" s="49" t="str">
        <f aca="false">CALC!$D$22</f>
        <v>Servicio de televisión CLICtv con decodificador incluido, para disfrutar de tus canales y contenidos favoritos.</v>
      </c>
      <c r="E27" s="49"/>
      <c r="F27" s="49"/>
      <c r="G27" s="49"/>
    </row>
    <row r="28" customFormat="false" ht="43.5" hidden="false" customHeight="true" outlineLevel="0" collapsed="false">
      <c r="B28" s="48" t="str">
        <f aca="false">CALC!$C$23</f>
        <v>Amazon Prime</v>
      </c>
      <c r="D28" s="49" t="str">
        <f aca="false">CALC!$D$23</f>
        <v>12 meses de Amazon Prime incluidos con tu tarifa, conforme a las condiciones del proveedor del servicio.</v>
      </c>
      <c r="E28" s="49"/>
      <c r="F28" s="49"/>
      <c r="G28" s="49"/>
    </row>
    <row r="29" customFormat="false" ht="43.5" hidden="false" customHeight="true" outlineLevel="0" collapsed="false">
      <c r="B29" s="48" t="str">
        <f aca="false">CALC!$C$24</f>
        <v/>
      </c>
      <c r="D29" s="49" t="str">
        <f aca="false">CALC!$D$24</f>
        <v/>
      </c>
      <c r="E29" s="49"/>
      <c r="F29" s="49"/>
      <c r="G29" s="49"/>
    </row>
    <row r="30" customFormat="false" ht="13.5" hidden="false" customHeight="true" outlineLevel="0" collapsed="false"/>
    <row r="31" customFormat="false" ht="39.75" hidden="false" customHeight="true" outlineLevel="0" collapsed="false">
      <c r="A31" s="50" t="str">
        <f aca="false">IF(DATOS!$C$11="","Nuestro equipo",DATOS!$C$11)&amp;" te acompañará durante todo el proceso de alta, portabilidad e instalación para que no tengas que preocuparte de nada."&amp;IF(AND(TARIFAS!$B$29="",TARIFAS!$B$30=""),""," Para cualquier consulta, contacta con nosotros en "&amp;TARIFAS!$B$29&amp;IF(AND(TARIFAS!$B$29&lt;&gt;"",TARIFAS!$B$30&lt;&gt;"")," o en el ","")&amp;TARIFAS!$B$30&amp;".")</f>
        <v>Gabriela te acompañará durante todo el proceso de alta, portabilidad e instalación para que no tengas que preocuparte de nada.</v>
      </c>
      <c r="B31" s="50"/>
      <c r="C31" s="50"/>
      <c r="D31" s="50"/>
      <c r="E31" s="50"/>
      <c r="F31" s="50"/>
      <c r="G31" s="50"/>
    </row>
    <row r="32" customFormat="false" ht="9.75" hidden="false" customHeight="true" outlineLevel="0" collapsed="false"/>
    <row r="33" customFormat="false" ht="25.5" hidden="false" customHeight="true" outlineLevel="0" collapsed="false">
      <c r="A33" s="51" t="str">
        <f aca="false">TARIFAS!$B$40&amp;""</f>
        <v>Precios con IVA incluido. Servicios prestados por AVATEL, sujetos a cobertura y a la validación de los datos del titular por parte de la operadora.</v>
      </c>
      <c r="B33" s="51"/>
      <c r="C33" s="51"/>
      <c r="D33" s="51"/>
      <c r="E33" s="51"/>
      <c r="F33" s="51"/>
      <c r="G33" s="51"/>
    </row>
  </sheetData>
  <sheetProtection sheet="true"/>
  <mergeCells count="27">
    <mergeCell ref="D1:G1"/>
    <mergeCell ref="D2:G2"/>
    <mergeCell ref="D3:G3"/>
    <mergeCell ref="D4:G4"/>
    <mergeCell ref="A8:G8"/>
    <mergeCell ref="A10:D10"/>
    <mergeCell ref="F10:G10"/>
    <mergeCell ref="A11:D11"/>
    <mergeCell ref="F11:G11"/>
    <mergeCell ref="A12:D12"/>
    <mergeCell ref="F12:G12"/>
    <mergeCell ref="A14:G14"/>
    <mergeCell ref="B17:D17"/>
    <mergeCell ref="E17:G17"/>
    <mergeCell ref="B18:D18"/>
    <mergeCell ref="E18:G18"/>
    <mergeCell ref="B19:E19"/>
    <mergeCell ref="F19:G19"/>
    <mergeCell ref="A22:G22"/>
    <mergeCell ref="D24:G24"/>
    <mergeCell ref="D25:G25"/>
    <mergeCell ref="D26:G26"/>
    <mergeCell ref="D27:G27"/>
    <mergeCell ref="D28:G28"/>
    <mergeCell ref="D29:G29"/>
    <mergeCell ref="A31:G31"/>
    <mergeCell ref="A33:G33"/>
  </mergeCells>
  <conditionalFormatting sqref="A24:A29">
    <cfRule type="expression" priority="2" aboveAverage="0" equalAverage="0" bottom="0" percent="0" rank="0" text="" dxfId="3">
      <formula>$B24&lt;&gt;""</formula>
    </cfRule>
  </conditionalFormatting>
  <conditionalFormatting sqref="B24:B29">
    <cfRule type="expression" priority="3" aboveAverage="0" equalAverage="0" bottom="0" percent="0" rank="0" text="" dxfId="4">
      <formula>$B24&lt;&gt;""</formula>
    </cfRule>
  </conditionalFormatting>
  <conditionalFormatting sqref="A24:G29">
    <cfRule type="expression" priority="4" aboveAverage="0" equalAverage="0" bottom="0" percent="0" rank="0" text="" dxfId="5">
      <formula>$B24&lt;&gt;""</formula>
    </cfRule>
  </conditionalFormatting>
  <printOptions headings="false" gridLines="false" gridLinesSet="true" horizontalCentered="true" verticalCentered="false"/>
  <pageMargins left="0.55" right="0.55" top="0.5" bottom="0.6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&amp;K5b6475MESENERGIA  ·  +Energía  ·  Nos importa tu ahorro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E43"/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7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52" t="s">
        <v>70</v>
      </c>
      <c r="B1" s="52"/>
      <c r="C1" s="52"/>
      <c r="D1" s="52"/>
      <c r="E1" s="52"/>
      <c r="F1" s="52"/>
    </row>
    <row r="2" customFormat="false" ht="25.5" hidden="false" customHeight="true" outlineLevel="0" collapsed="false">
      <c r="A2" s="53" t="s">
        <v>71</v>
      </c>
      <c r="B2" s="53"/>
      <c r="C2" s="53"/>
      <c r="D2" s="53"/>
      <c r="E2" s="53"/>
      <c r="F2" s="53"/>
    </row>
    <row r="4" customFormat="false" ht="15" hidden="false" customHeight="false" outlineLevel="0" collapsed="false">
      <c r="A4" s="54" t="s">
        <v>72</v>
      </c>
      <c r="B4" s="54"/>
      <c r="C4" s="54"/>
      <c r="D4" s="54"/>
      <c r="E4" s="54"/>
      <c r="F4" s="54"/>
    </row>
    <row r="5" customFormat="false" ht="30" hidden="false" customHeight="true" outlineLevel="0" collapsed="false">
      <c r="A5" s="19" t="s">
        <v>19</v>
      </c>
      <c r="B5" s="19" t="s">
        <v>73</v>
      </c>
      <c r="C5" s="19" t="s">
        <v>74</v>
      </c>
      <c r="D5" s="19" t="s">
        <v>75</v>
      </c>
      <c r="E5" s="19" t="s">
        <v>76</v>
      </c>
      <c r="F5" s="19" t="s">
        <v>77</v>
      </c>
    </row>
    <row r="6" customFormat="false" ht="30" hidden="false" customHeight="true" outlineLevel="0" collapsed="false">
      <c r="A6" s="14" t="s">
        <v>78</v>
      </c>
      <c r="B6" s="55" t="s">
        <v>79</v>
      </c>
      <c r="C6" s="55" t="s">
        <v>80</v>
      </c>
      <c r="D6" s="56" t="n">
        <v>0</v>
      </c>
      <c r="E6" s="55" t="s">
        <v>81</v>
      </c>
      <c r="F6" s="57" t="n">
        <v>19.99</v>
      </c>
    </row>
    <row r="7" customFormat="false" ht="30" hidden="false" customHeight="true" outlineLevel="0" collapsed="false">
      <c r="A7" s="14" t="s">
        <v>82</v>
      </c>
      <c r="B7" s="55" t="s">
        <v>83</v>
      </c>
      <c r="C7" s="55" t="s">
        <v>84</v>
      </c>
      <c r="D7" s="56" t="n">
        <v>1</v>
      </c>
      <c r="E7" s="55" t="s">
        <v>85</v>
      </c>
      <c r="F7" s="57" t="n">
        <v>24.99</v>
      </c>
    </row>
    <row r="8" customFormat="false" ht="30" hidden="false" customHeight="true" outlineLevel="0" collapsed="false">
      <c r="A8" s="14" t="s">
        <v>86</v>
      </c>
      <c r="B8" s="55" t="s">
        <v>87</v>
      </c>
      <c r="C8" s="55" t="s">
        <v>88</v>
      </c>
      <c r="D8" s="56" t="n">
        <v>2</v>
      </c>
      <c r="E8" s="55" t="s">
        <v>89</v>
      </c>
      <c r="F8" s="57" t="n">
        <v>34.99</v>
      </c>
    </row>
    <row r="9" customFormat="false" ht="30" hidden="false" customHeight="true" outlineLevel="0" collapsed="false">
      <c r="A9" s="14" t="s">
        <v>20</v>
      </c>
      <c r="B9" s="55" t="s">
        <v>90</v>
      </c>
      <c r="C9" s="55" t="s">
        <v>91</v>
      </c>
      <c r="D9" s="56" t="n">
        <v>2</v>
      </c>
      <c r="E9" s="55" t="s">
        <v>92</v>
      </c>
      <c r="F9" s="57" t="n">
        <v>39.99</v>
      </c>
    </row>
    <row r="11" customFormat="false" ht="15" hidden="false" customHeight="false" outlineLevel="0" collapsed="false">
      <c r="A11" s="54" t="s">
        <v>93</v>
      </c>
      <c r="B11" s="54"/>
      <c r="C11" s="54"/>
      <c r="D11" s="54"/>
      <c r="E11" s="54"/>
      <c r="F11" s="54"/>
    </row>
    <row r="12" customFormat="false" ht="21.75" hidden="false" customHeight="true" outlineLevel="0" collapsed="false">
      <c r="A12" s="19" t="s">
        <v>19</v>
      </c>
      <c r="B12" s="19" t="s">
        <v>94</v>
      </c>
      <c r="C12" s="19" t="s">
        <v>95</v>
      </c>
      <c r="D12" s="19" t="s">
        <v>85</v>
      </c>
      <c r="E12" s="19" t="s">
        <v>38</v>
      </c>
    </row>
    <row r="13" customFormat="false" ht="15" hidden="false" customHeight="false" outlineLevel="0" collapsed="false">
      <c r="A13" s="14" t="s">
        <v>78</v>
      </c>
      <c r="B13" s="57" t="n">
        <v>5</v>
      </c>
      <c r="C13" s="58" t="s">
        <v>81</v>
      </c>
      <c r="D13" s="58" t="s">
        <v>81</v>
      </c>
      <c r="E13" s="57" t="n">
        <v>12</v>
      </c>
    </row>
    <row r="14" customFormat="false" ht="15" hidden="false" customHeight="false" outlineLevel="0" collapsed="false">
      <c r="A14" s="14" t="s">
        <v>82</v>
      </c>
      <c r="B14" s="57" t="n">
        <v>5</v>
      </c>
      <c r="C14" s="57" t="n">
        <v>7.5</v>
      </c>
      <c r="D14" s="58" t="s">
        <v>81</v>
      </c>
      <c r="E14" s="57" t="n">
        <v>12</v>
      </c>
    </row>
    <row r="15" customFormat="false" ht="15" hidden="false" customHeight="false" outlineLevel="0" collapsed="false">
      <c r="A15" s="14" t="s">
        <v>86</v>
      </c>
      <c r="B15" s="58" t="s">
        <v>81</v>
      </c>
      <c r="C15" s="58" t="s">
        <v>81</v>
      </c>
      <c r="D15" s="57" t="n">
        <v>5</v>
      </c>
      <c r="E15" s="58" t="s">
        <v>81</v>
      </c>
    </row>
    <row r="16" customFormat="false" ht="15" hidden="false" customHeight="false" outlineLevel="0" collapsed="false">
      <c r="A16" s="14" t="s">
        <v>20</v>
      </c>
      <c r="B16" s="58" t="s">
        <v>81</v>
      </c>
      <c r="C16" s="58" t="s">
        <v>81</v>
      </c>
      <c r="D16" s="58" t="s">
        <v>81</v>
      </c>
      <c r="E16" s="57" t="n">
        <v>10</v>
      </c>
    </row>
    <row r="17" customFormat="false" ht="15" hidden="false" customHeight="false" outlineLevel="0" collapsed="false">
      <c r="A17" s="59" t="s">
        <v>96</v>
      </c>
      <c r="B17" s="59"/>
      <c r="C17" s="59"/>
      <c r="D17" s="59"/>
      <c r="E17" s="59"/>
      <c r="F17" s="59"/>
    </row>
    <row r="19" customFormat="false" ht="15" hidden="false" customHeight="false" outlineLevel="0" collapsed="false">
      <c r="A19" s="54" t="s">
        <v>97</v>
      </c>
      <c r="B19" s="54"/>
      <c r="C19" s="54"/>
      <c r="D19" s="54"/>
      <c r="E19" s="54"/>
      <c r="F19" s="54"/>
    </row>
    <row r="20" customFormat="false" ht="15" hidden="false" customHeight="false" outlineLevel="0" collapsed="false">
      <c r="A20" s="19" t="s">
        <v>98</v>
      </c>
      <c r="B20" s="19" t="s">
        <v>99</v>
      </c>
      <c r="C20" s="19" t="s">
        <v>100</v>
      </c>
    </row>
    <row r="21" customFormat="false" ht="15" hidden="false" customHeight="false" outlineLevel="0" collapsed="false">
      <c r="A21" s="14" t="s">
        <v>101</v>
      </c>
      <c r="B21" s="57" t="n">
        <v>5</v>
      </c>
      <c r="C21" s="60" t="s">
        <v>102</v>
      </c>
    </row>
    <row r="22" customFormat="false" ht="15" hidden="false" customHeight="false" outlineLevel="0" collapsed="false">
      <c r="A22" s="14" t="s">
        <v>46</v>
      </c>
      <c r="B22" s="57" t="n">
        <v>5</v>
      </c>
      <c r="C22" s="60"/>
    </row>
    <row r="23" customFormat="false" ht="15" hidden="false" customHeight="false" outlineLevel="0" collapsed="false">
      <c r="A23" s="14" t="s">
        <v>49</v>
      </c>
      <c r="B23" s="57" t="n">
        <v>0</v>
      </c>
      <c r="C23" s="60" t="s">
        <v>103</v>
      </c>
    </row>
    <row r="24" customFormat="false" ht="15" hidden="false" customHeight="false" outlineLevel="0" collapsed="false">
      <c r="A24" s="14" t="s">
        <v>104</v>
      </c>
      <c r="B24" s="57" t="n">
        <v>3.99</v>
      </c>
      <c r="C24" s="60"/>
    </row>
    <row r="26" customFormat="false" ht="15" hidden="false" customHeight="false" outlineLevel="0" collapsed="false">
      <c r="A26" s="54" t="s">
        <v>105</v>
      </c>
      <c r="B26" s="54"/>
      <c r="C26" s="54"/>
      <c r="D26" s="54"/>
      <c r="E26" s="54"/>
      <c r="F26" s="54"/>
    </row>
    <row r="27" customFormat="false" ht="15" hidden="false" customHeight="true" outlineLevel="0" collapsed="false">
      <c r="A27" s="14" t="s">
        <v>106</v>
      </c>
      <c r="B27" s="55" t="s">
        <v>107</v>
      </c>
      <c r="C27" s="55"/>
    </row>
    <row r="28" customFormat="false" ht="15" hidden="false" customHeight="true" outlineLevel="0" collapsed="false">
      <c r="A28" s="14" t="s">
        <v>108</v>
      </c>
      <c r="B28" s="55" t="s">
        <v>109</v>
      </c>
      <c r="C28" s="55"/>
    </row>
    <row r="29" customFormat="false" ht="15" hidden="false" customHeight="false" outlineLevel="0" collapsed="false">
      <c r="A29" s="14" t="s">
        <v>110</v>
      </c>
      <c r="B29" s="55"/>
      <c r="C29" s="55"/>
    </row>
    <row r="30" customFormat="false" ht="15" hidden="false" customHeight="false" outlineLevel="0" collapsed="false">
      <c r="A30" s="14" t="s">
        <v>111</v>
      </c>
      <c r="B30" s="55"/>
      <c r="C30" s="55"/>
    </row>
    <row r="31" customFormat="false" ht="15" hidden="false" customHeight="true" outlineLevel="0" collapsed="false">
      <c r="A31" s="14" t="s">
        <v>112</v>
      </c>
      <c r="B31" s="55" t="s">
        <v>113</v>
      </c>
      <c r="C31" s="55"/>
    </row>
    <row r="32" customFormat="false" ht="43.5" hidden="false" customHeight="true" outlineLevel="0" collapsed="false">
      <c r="A32" s="14" t="s">
        <v>114</v>
      </c>
      <c r="B32" s="55" t="s">
        <v>115</v>
      </c>
      <c r="C32" s="55"/>
    </row>
    <row r="34" customFormat="false" ht="15" hidden="false" customHeight="false" outlineLevel="0" collapsed="false">
      <c r="A34" s="54" t="s">
        <v>116</v>
      </c>
      <c r="B34" s="54"/>
      <c r="C34" s="54"/>
      <c r="D34" s="54"/>
      <c r="E34" s="54"/>
      <c r="F34" s="54"/>
    </row>
    <row r="35" customFormat="false" ht="30" hidden="false" customHeight="true" outlineLevel="0" collapsed="false">
      <c r="A35" s="14" t="s">
        <v>117</v>
      </c>
      <c r="B35" s="55" t="s">
        <v>118</v>
      </c>
      <c r="C35" s="55"/>
    </row>
    <row r="36" customFormat="false" ht="30" hidden="false" customHeight="true" outlineLevel="0" collapsed="false">
      <c r="A36" s="14" t="s">
        <v>119</v>
      </c>
      <c r="B36" s="55" t="s">
        <v>120</v>
      </c>
      <c r="C36" s="55"/>
    </row>
    <row r="37" customFormat="false" ht="30" hidden="false" customHeight="true" outlineLevel="0" collapsed="false">
      <c r="A37" s="14" t="s">
        <v>121</v>
      </c>
      <c r="B37" s="55" t="s">
        <v>122</v>
      </c>
      <c r="C37" s="55"/>
    </row>
    <row r="38" customFormat="false" ht="30" hidden="false" customHeight="true" outlineLevel="0" collapsed="false">
      <c r="A38" s="14" t="s">
        <v>123</v>
      </c>
      <c r="B38" s="55" t="s">
        <v>124</v>
      </c>
      <c r="C38" s="55"/>
    </row>
    <row r="39" customFormat="false" ht="30" hidden="false" customHeight="true" outlineLevel="0" collapsed="false">
      <c r="A39" s="14" t="s">
        <v>125</v>
      </c>
      <c r="B39" s="55" t="s">
        <v>126</v>
      </c>
      <c r="C39" s="55"/>
    </row>
    <row r="40" customFormat="false" ht="30" hidden="false" customHeight="true" outlineLevel="0" collapsed="false">
      <c r="A40" s="14" t="s">
        <v>127</v>
      </c>
      <c r="B40" s="55" t="s">
        <v>128</v>
      </c>
      <c r="C40" s="55"/>
    </row>
  </sheetData>
  <mergeCells count="20">
    <mergeCell ref="A1:F1"/>
    <mergeCell ref="A2:F2"/>
    <mergeCell ref="A4:F4"/>
    <mergeCell ref="A11:F11"/>
    <mergeCell ref="A17:F17"/>
    <mergeCell ref="A19:F19"/>
    <mergeCell ref="A26:F26"/>
    <mergeCell ref="B27:C27"/>
    <mergeCell ref="B28:C28"/>
    <mergeCell ref="B29:C29"/>
    <mergeCell ref="B30:C30"/>
    <mergeCell ref="B31:C31"/>
    <mergeCell ref="B32:C32"/>
    <mergeCell ref="A34:F34"/>
    <mergeCell ref="B35:C35"/>
    <mergeCell ref="B36:C36"/>
    <mergeCell ref="B37:C37"/>
    <mergeCell ref="B38:C38"/>
    <mergeCell ref="B39:C3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9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61" t="s">
        <v>129</v>
      </c>
    </row>
    <row r="2" customFormat="false" ht="15" hidden="false" customHeight="false" outlineLevel="0" collapsed="false">
      <c r="A2" s="0" t="s">
        <v>26</v>
      </c>
      <c r="B2" s="0" t="s">
        <v>130</v>
      </c>
      <c r="C2" s="0" t="s">
        <v>29</v>
      </c>
      <c r="D2" s="0" t="s">
        <v>131</v>
      </c>
    </row>
    <row r="3" customFormat="false" ht="28.35" hidden="false" customHeight="false" outlineLevel="0" collapsed="false">
      <c r="A3" s="0" t="s">
        <v>32</v>
      </c>
      <c r="B3" s="0" t="str">
        <f aca="false">DATOS!$C$24&amp;""</f>
        <v>612345678</v>
      </c>
      <c r="C3" s="0" t="str">
        <f aca="false">DATOS!$E$24&amp;""</f>
        <v>Datos ilimitados (5G)</v>
      </c>
      <c r="D3" s="62" t="str">
        <f aca="false">IF(B3="","",CHAR(10)&amp;"•  "&amp;A3&amp;"  "&amp;IF(LEN(B3)=9,LEFT(B3,3)&amp;" "&amp;MID(B3,4,3)&amp;" "&amp;MID(B3,7,3),B3&amp;"")&amp;"   ·   "&amp;C3)</f>
        <v>
•  Línea principal  612 345 678   ·   Datos ilimitados (5G)</v>
      </c>
    </row>
    <row r="4" customFormat="false" ht="28.35" hidden="false" customHeight="false" outlineLevel="0" collapsed="false">
      <c r="A4" s="0" t="s">
        <v>132</v>
      </c>
      <c r="B4" s="0" t="str">
        <f aca="false">DATOS!$C$25&amp;""</f>
        <v>623456789</v>
      </c>
      <c r="C4" s="0" t="str">
        <f aca="false">DATOS!$E$25&amp;""</f>
        <v>Datos ilimitados (5G)</v>
      </c>
      <c r="D4" s="62" t="str">
        <f aca="false">IF(B4="","",CHAR(10)&amp;"•  "&amp;A4&amp;"  "&amp;IF(LEN(B4)=9,LEFT(B4,3)&amp;" "&amp;MID(B4,4,3)&amp;" "&amp;MID(B4,7,3),B4&amp;"")&amp;"   ·   "&amp;C4)</f>
        <v>
•  Línea adicional  623 456 789   ·   Datos ilimitados (5G)</v>
      </c>
    </row>
    <row r="5" customFormat="false" ht="28.35" hidden="false" customHeight="false" outlineLevel="0" collapsed="false">
      <c r="A5" s="0" t="s">
        <v>132</v>
      </c>
      <c r="B5" s="0" t="str">
        <f aca="false">DATOS!$C$26&amp;""</f>
        <v>634567890</v>
      </c>
      <c r="C5" s="0" t="str">
        <f aca="false">DATOS!$E$26&amp;""</f>
        <v>Datos ilimitados</v>
      </c>
      <c r="D5" s="62" t="str">
        <f aca="false">IF(B5="","",CHAR(10)&amp;"•  "&amp;A5&amp;"  "&amp;IF(LEN(B5)=9,LEFT(B5,3)&amp;" "&amp;MID(B5,4,3)&amp;" "&amp;MID(B5,7,3),B5&amp;"")&amp;"   ·   "&amp;C5)</f>
        <v>
•  Línea adicional  634 567 890   ·   Datos ilimitados</v>
      </c>
    </row>
    <row r="6" customFormat="false" ht="15" hidden="false" customHeight="false" outlineLevel="0" collapsed="false">
      <c r="A6" s="0" t="s">
        <v>132</v>
      </c>
      <c r="B6" s="0" t="str">
        <f aca="false">DATOS!$C$27&amp;""</f>
        <v/>
      </c>
      <c r="C6" s="0" t="str">
        <f aca="false">DATOS!$E$27&amp;""</f>
        <v/>
      </c>
      <c r="D6" s="0" t="str">
        <f aca="false">IF(B6="","",CHAR(10)&amp;"•  "&amp;A6&amp;"  "&amp;IF(LEN(B6)=9,LEFT(B6,3)&amp;" "&amp;MID(B6,4,3)&amp;" "&amp;MID(B6,7,3),B6&amp;"")&amp;"   ·   "&amp;C6)</f>
        <v/>
      </c>
    </row>
    <row r="7" customFormat="false" ht="15" hidden="false" customHeight="false" outlineLevel="0" collapsed="false">
      <c r="A7" s="0" t="s">
        <v>132</v>
      </c>
      <c r="B7" s="0" t="str">
        <f aca="false">DATOS!$C$28&amp;""</f>
        <v/>
      </c>
      <c r="C7" s="0" t="str">
        <f aca="false">DATOS!$E$28&amp;""</f>
        <v/>
      </c>
      <c r="D7" s="0" t="str">
        <f aca="false">IF(B7="","",CHAR(10)&amp;"•  "&amp;A7&amp;"  "&amp;IF(LEN(B7)=9,LEFT(B7,3)&amp;" "&amp;MID(B7,4,3)&amp;" "&amp;MID(B7,7,3),B7&amp;"")&amp;"   ·   "&amp;C7)</f>
        <v/>
      </c>
    </row>
    <row r="8" customFormat="false" ht="15" hidden="false" customHeight="false" outlineLevel="0" collapsed="false">
      <c r="A8" s="0" t="s">
        <v>133</v>
      </c>
      <c r="B8" s="0" t="n">
        <f aca="false">SUMPRODUCT(--(LEN(B3:B7)&gt;0))</f>
        <v>3</v>
      </c>
    </row>
    <row r="10" customFormat="false" ht="15" hidden="false" customHeight="false" outlineLevel="0" collapsed="false">
      <c r="A10" s="0" t="s">
        <v>134</v>
      </c>
      <c r="B10" s="0" t="s">
        <v>135</v>
      </c>
      <c r="C10" s="0" t="s">
        <v>136</v>
      </c>
      <c r="D10" s="0" t="s">
        <v>137</v>
      </c>
      <c r="E10" s="0" t="s">
        <v>138</v>
      </c>
    </row>
    <row r="11" customFormat="false" ht="15" hidden="false" customHeight="false" outlineLevel="0" collapsed="false">
      <c r="A11" s="0" t="s">
        <v>139</v>
      </c>
      <c r="B11" s="0" t="n">
        <f aca="false">IF(TRUE(),1,0)</f>
        <v>1</v>
      </c>
      <c r="C11" s="0" t="s">
        <v>140</v>
      </c>
      <c r="D11" s="0" t="str">
        <f aca="false">TARIFAS!$B$35&amp;IF(N(DATOS!$C$36)&gt;0," Incluye "&amp;DATOS!$C$36&amp;IF(DATOS!$C$36=1," dispositivo Conecta Mesh"," dispositivos Conecta Mesh")&amp;" para ampliar la cobertura WiFi en toda la vivienda.","")</f>
        <v>Conexión a Internet de alta velocidad mediante red de fibra óptica de 1 Gb (1000 Mb), con router WiFi 6 incluido e instalación gratuita. Incluye 1 dispositivo Conecta Mesh para ampliar la cobertura WiFi en toda la vivienda.</v>
      </c>
      <c r="E11" s="0" t="n">
        <f aca="false">B11</f>
        <v>1</v>
      </c>
    </row>
    <row r="12" customFormat="false" ht="55.2" hidden="false" customHeight="false" outlineLevel="0" collapsed="false">
      <c r="A12" s="0" t="s">
        <v>141</v>
      </c>
      <c r="B12" s="0" t="n">
        <f aca="false">IF($B$8&gt;0,1,0)</f>
        <v>1</v>
      </c>
      <c r="C12" s="0" t="s">
        <v>142</v>
      </c>
      <c r="D12" s="62" t="str">
        <f aca="false">IF($B$8=1,"Línea móvil en modalidad de portabilidad, con llamadas ilimitadas a destinos nacionales:","Líneas móviles en modalidad de portabilidad, todas con llamadas ilimitadas a destinos nacionales:")&amp;D3&amp;D4&amp;D5&amp;D6&amp;D7</f>
        <v>Líneas móviles en modalidad de portabilidad, todas con llamadas ilimitadas a destinos nacionales:
•  Línea principal  612 345 678   ·   Datos ilimitados (5G)
•  Línea adicional  623 456 789   ·   Datos ilimitados (5G)
•  Línea adicional  634 567 890   ·   Datos ilimitados</v>
      </c>
      <c r="E12" s="0" t="n">
        <f aca="false">E11+B12</f>
        <v>2</v>
      </c>
    </row>
    <row r="13" customFormat="false" ht="15" hidden="false" customHeight="false" outlineLevel="0" collapsed="false">
      <c r="A13" s="0" t="s">
        <v>143</v>
      </c>
      <c r="B13" s="0" t="n">
        <f aca="false">IF(DATOS!$C$31&lt;&gt;"",1,0)</f>
        <v>1</v>
      </c>
      <c r="C13" s="0" t="s">
        <v>144</v>
      </c>
      <c r="D13" s="0" t="str">
        <f aca="false">"Línea de teléfono fijo en modalidad de portabilidad con el número "&amp;IF(LEN(DATOS!$C$31)=9,LEFT(DATOS!$C$31,3)&amp;" "&amp;MID(DATOS!$C$31,4,3)&amp;" "&amp;MID(DATOS!$C$31,7,3),DATOS!$C$31&amp;"")&amp;", "&amp;TARIFAS!$B$36</f>
        <v>Línea de teléfono fijo en modalidad de portabilidad con el número 944 123 456, con 1.000 minutos a fijos y 1.000 minutos a móviles nacionales.</v>
      </c>
      <c r="E13" s="0" t="n">
        <f aca="false">E12+B13</f>
        <v>3</v>
      </c>
    </row>
    <row r="14" customFormat="false" ht="15" hidden="false" customHeight="false" outlineLevel="0" collapsed="false">
      <c r="A14" s="0" t="s">
        <v>145</v>
      </c>
      <c r="B14" s="0" t="n">
        <f aca="false">IF(DATOS!$C$34="Sí",1,0)</f>
        <v>1</v>
      </c>
      <c r="C14" s="0" t="s">
        <v>121</v>
      </c>
      <c r="D14" s="0" t="str">
        <f aca="false">TARIFAS!$B$37&amp;IF(DATOS!$C$35="Sí"," "&amp;TARIFAS!$B$38,"")</f>
        <v>Servicio de televisión CLICtv con decodificador incluido, para disfrutar de tus canales y contenidos favoritos.</v>
      </c>
      <c r="E14" s="0" t="n">
        <f aca="false">E13+B14</f>
        <v>4</v>
      </c>
    </row>
    <row r="15" customFormat="false" ht="15" hidden="false" customHeight="false" outlineLevel="0" collapsed="false">
      <c r="A15" s="0" t="s">
        <v>146</v>
      </c>
      <c r="B15" s="0" t="n">
        <f aca="false">IF(TRUE(),1,0)</f>
        <v>1</v>
      </c>
      <c r="C15" s="0" t="s">
        <v>125</v>
      </c>
      <c r="D15" s="0" t="str">
        <f aca="false">TARIFAS!$B$39&amp;""</f>
        <v>12 meses de Amazon Prime incluidos con tu tarifa, conforme a las condiciones del proveedor del servicio.</v>
      </c>
      <c r="E15" s="0" t="n">
        <f aca="false">E14+B15</f>
        <v>5</v>
      </c>
    </row>
    <row r="16" customFormat="false" ht="15" hidden="false" customHeight="false" outlineLevel="0" collapsed="false">
      <c r="A16" s="0" t="s">
        <v>147</v>
      </c>
      <c r="B16" s="0" t="n">
        <f aca="false">IF(DATOS!$C$37&lt;&gt;"",1,0)</f>
        <v>0</v>
      </c>
      <c r="C16" s="0" t="s">
        <v>148</v>
      </c>
      <c r="D16" s="0" t="str">
        <f aca="false">DATOS!$C$37&amp;""</f>
        <v/>
      </c>
      <c r="E16" s="0" t="n">
        <f aca="false">E15+B16</f>
        <v>5</v>
      </c>
    </row>
    <row r="18" customFormat="false" ht="15" hidden="false" customHeight="false" outlineLevel="0" collapsed="false">
      <c r="A18" s="0" t="s">
        <v>149</v>
      </c>
      <c r="C18" s="0" t="s">
        <v>136</v>
      </c>
      <c r="D18" s="0" t="s">
        <v>137</v>
      </c>
    </row>
    <row r="19" customFormat="false" ht="15" hidden="false" customHeight="false" outlineLevel="0" collapsed="false">
      <c r="A19" s="0" t="n">
        <v>1</v>
      </c>
      <c r="C19" s="0" t="str">
        <f aca="false">IFERROR(INDEX($C$11:$C$16,MATCH(1,$E$11:$E$16,0)),"")</f>
        <v>Fibra óptica 1 Gb</v>
      </c>
      <c r="D19" s="0" t="str">
        <f aca="false">IFERROR(INDEX($D$11:$D$16,MATCH(1,$E$11:$E$16,0)),"")</f>
        <v>Conexión a Internet de alta velocidad mediante red de fibra óptica de 1 Gb (1000 Mb), con router WiFi 6 incluido e instalación gratuita. Incluye 1 dispositivo Conecta Mesh para ampliar la cobertura WiFi en toda la vivienda.</v>
      </c>
    </row>
    <row r="20" customFormat="false" ht="55.2" hidden="false" customHeight="false" outlineLevel="0" collapsed="false">
      <c r="A20" s="0" t="n">
        <v>2</v>
      </c>
      <c r="C20" s="0" t="str">
        <f aca="false">IFERROR(INDEX($C$11:$C$16,MATCH(2,$E$11:$E$16,0)),"")</f>
        <v>Telefonía móvil</v>
      </c>
      <c r="D20" s="62" t="str">
        <f aca="false">IFERROR(INDEX($D$11:$D$16,MATCH(2,$E$11:$E$16,0)),"")</f>
        <v>Líneas móviles en modalidad de portabilidad, todas con llamadas ilimitadas a destinos nacionales:
•  Línea principal  612 345 678   ·   Datos ilimitados (5G)
•  Línea adicional  623 456 789   ·   Datos ilimitados (5G)
•  Línea adicional  634 567 890   ·   Datos ilimitados</v>
      </c>
    </row>
    <row r="21" customFormat="false" ht="15" hidden="false" customHeight="false" outlineLevel="0" collapsed="false">
      <c r="A21" s="0" t="n">
        <v>3</v>
      </c>
      <c r="C21" s="0" t="str">
        <f aca="false">IFERROR(INDEX($C$11:$C$16,MATCH(3,$E$11:$E$16,0)),"")</f>
        <v>Telefonía fija</v>
      </c>
      <c r="D21" s="0" t="str">
        <f aca="false">IFERROR(INDEX($D$11:$D$16,MATCH(3,$E$11:$E$16,0)),"")</f>
        <v>Línea de teléfono fijo en modalidad de portabilidad con el número 944 123 456, con 1.000 minutos a fijos y 1.000 minutos a móviles nacionales.</v>
      </c>
    </row>
    <row r="22" customFormat="false" ht="15" hidden="false" customHeight="false" outlineLevel="0" collapsed="false">
      <c r="A22" s="0" t="n">
        <v>4</v>
      </c>
      <c r="C22" s="0" t="str">
        <f aca="false">IFERROR(INDEX($C$11:$C$16,MATCH(4,$E$11:$E$16,0)),"")</f>
        <v>Televisión</v>
      </c>
      <c r="D22" s="0" t="str">
        <f aca="false">IFERROR(INDEX($D$11:$D$16,MATCH(4,$E$11:$E$16,0)),"")</f>
        <v>Servicio de televisión CLICtv con decodificador incluido, para disfrutar de tus canales y contenidos favoritos.</v>
      </c>
    </row>
    <row r="23" customFormat="false" ht="15" hidden="false" customHeight="false" outlineLevel="0" collapsed="false">
      <c r="A23" s="0" t="n">
        <v>5</v>
      </c>
      <c r="C23" s="0" t="str">
        <f aca="false">IFERROR(INDEX($C$11:$C$16,MATCH(5,$E$11:$E$16,0)),"")</f>
        <v>Amazon Prime</v>
      </c>
      <c r="D23" s="0" t="str">
        <f aca="false">IFERROR(INDEX($D$11:$D$16,MATCH(5,$E$11:$E$16,0)),"")</f>
        <v>12 meses de Amazon Prime incluidos con tu tarifa, conforme a las condiciones del proveedor del servicio.</v>
      </c>
    </row>
    <row r="24" customFormat="false" ht="15" hidden="false" customHeight="false" outlineLevel="0" collapsed="false">
      <c r="A24" s="0" t="n">
        <v>6</v>
      </c>
      <c r="C24" s="0" t="str">
        <f aca="false">IFERROR(INDEX($C$11:$C$16,MATCH(6,$E$11:$E$16,0)),"")</f>
        <v/>
      </c>
      <c r="D24" s="0" t="str">
        <f aca="false">IFERROR(INDEX($D$11:$D$16,MATCH(6,$E$11:$E$16,0)),"")</f>
        <v/>
      </c>
    </row>
    <row r="27" customFormat="false" ht="15" hidden="false" customHeight="false" outlineLevel="0" collapsed="false">
      <c r="A27" s="0" t="s">
        <v>150</v>
      </c>
      <c r="D27" s="0" t="str">
        <f aca="false">"Fibra 1 Gb"&amp;IF($B$8&gt;0,"  ·  "&amp;$B$8&amp;IF($B$8=1," línea móvil"," líneas móviles"),"")&amp;IF(DATOS!$C$31&lt;&gt;"","  ·  Teléfono fijo","")&amp;IF(DATOS!$C$34="Sí","  ·  Televisión","")&amp;"  ·  Amazon Prime"</f>
        <v>Fibra 1 Gb  ·  3 líneas móviles  ·  Teléfono fijo  ·  Televisión  ·  Amazon Prime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2026-10-13T09:36:59Z</dcterms:created>
  <dc:creator>openpyxl</dc:creator>
  <dc:description/>
  <dc:language>en-US</dc:language>
  <cp:lastModifiedBy/>
  <dcterms:modified xsi:type="dcterms:W3CDTF">2026-10-13T09:36:59Z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